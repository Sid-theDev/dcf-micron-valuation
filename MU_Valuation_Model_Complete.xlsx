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h\Desktop\Finance Projects\dcf_micron\Final\"/>
    </mc:Choice>
  </mc:AlternateContent>
  <xr:revisionPtr revIDLastSave="0" documentId="13_ncr:1_{31FAD6F5-475B-4D83-944B-69FC155FC90B}" xr6:coauthVersionLast="47" xr6:coauthVersionMax="47" xr10:uidLastSave="{00000000-0000-0000-0000-000000000000}"/>
  <bookViews>
    <workbookView xWindow="-108" yWindow="-108" windowWidth="30936" windowHeight="17496" firstSheet="1" activeTab="1" xr2:uid="{4EABB071-EBE2-4F66-A9F5-7CCC977DD3A0}"/>
  </bookViews>
  <sheets>
    <sheet name="Cover" sheetId="1" r:id="rId1"/>
    <sheet name="Executive Summary" sheetId="2" r:id="rId2"/>
    <sheet name="Assumptions" sheetId="3" r:id="rId3"/>
    <sheet name="Raw Data" sheetId="6" r:id="rId4"/>
    <sheet name="Historical Drivers" sheetId="7" r:id="rId5"/>
    <sheet name="Schedules" sheetId="8" r:id="rId6"/>
    <sheet name="Model" sheetId="5" r:id="rId7"/>
    <sheet name="WACC" sheetId="9" r:id="rId8"/>
    <sheet name="DCF" sheetId="10" r:id="rId9"/>
    <sheet name="Comps" sheetId="11" r:id="rId10"/>
    <sheet name="Scenarios" sheetId="4" r:id="rId11"/>
    <sheet name="Checks" sheetId="12" r:id="rId12"/>
    <sheet name="Sources" sheetId="13" r:id="rId13"/>
  </sheets>
  <definedNames>
    <definedName name="_xlnm.Print_Area" localSheetId="11">Checks!$B$1:$P$29</definedName>
    <definedName name="_xlnm.Print_Area" localSheetId="9">Comps!$B$1:$P$42</definedName>
    <definedName name="_xlnm.Print_Area" localSheetId="8">DCF!$B$1:$P$27,DCF!$B$29:$P$80</definedName>
    <definedName name="_xlnm.Print_Area" localSheetId="1">'Executive Summary'!$A$1:$P$116</definedName>
    <definedName name="_xlnm.Print_Area" localSheetId="6">Model!$B$1:$P$34,Model!$B$36:$P$69</definedName>
    <definedName name="_xlnm.Print_Area" localSheetId="10">Scenarios!$B$1:$P$80</definedName>
    <definedName name="_xlnm.Print_Area" localSheetId="5">Schedules!$B$1:$P$35,Schedules!$B$38:$P$71,Schedules!$B$73:$P$110,Schedules!$B$112:$P$141,Schedules!$B$143:$P$170,Schedules!$B$172:$P$217,Schedules!$B$219:$P$248,Schedules!$B$250:$P$288,Schedules!$B$290:$P$323,Schedules!$B$325:$P$362</definedName>
    <definedName name="_xlnm.Print_Area" localSheetId="7">WACC!$B$1:$H$48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2" i="4" l="1"/>
  <c r="O82" i="4"/>
  <c r="N82" i="4"/>
  <c r="M82" i="4"/>
  <c r="L82" i="4"/>
  <c r="K82" i="4"/>
  <c r="J82" i="4"/>
  <c r="I82" i="4"/>
  <c r="H82" i="4"/>
  <c r="G82" i="4"/>
  <c r="F82" i="4"/>
  <c r="C18" i="1"/>
  <c r="I70" i="2"/>
  <c r="I77" i="2"/>
  <c r="I76" i="2"/>
  <c r="I74" i="2"/>
  <c r="I73" i="2"/>
  <c r="N72" i="2"/>
  <c r="M72" i="2"/>
  <c r="K72" i="2"/>
  <c r="J72" i="2"/>
  <c r="F78" i="2"/>
  <c r="E78" i="2"/>
  <c r="D78" i="2"/>
  <c r="F77" i="2"/>
  <c r="E77" i="2"/>
  <c r="D77" i="2"/>
  <c r="F76" i="2"/>
  <c r="E76" i="2"/>
  <c r="D76" i="2"/>
  <c r="F75" i="2"/>
  <c r="E75" i="2"/>
  <c r="D75" i="2"/>
  <c r="F74" i="2"/>
  <c r="E74" i="2"/>
  <c r="D74" i="2"/>
  <c r="F73" i="2"/>
  <c r="E73" i="2"/>
  <c r="D73" i="2"/>
  <c r="F72" i="2"/>
  <c r="E72" i="2"/>
  <c r="D72" i="2"/>
  <c r="M16" i="2"/>
  <c r="M15" i="2"/>
  <c r="M14" i="2"/>
  <c r="L16" i="2"/>
  <c r="K16" i="2"/>
  <c r="J16" i="2"/>
  <c r="I16" i="2"/>
  <c r="H16" i="2"/>
  <c r="G16" i="2"/>
  <c r="F16" i="2"/>
  <c r="E16" i="2"/>
  <c r="D16" i="2"/>
  <c r="C16" i="2"/>
  <c r="L15" i="2"/>
  <c r="K15" i="2"/>
  <c r="J15" i="2"/>
  <c r="I15" i="2"/>
  <c r="H15" i="2"/>
  <c r="G15" i="2"/>
  <c r="F15" i="2"/>
  <c r="E15" i="2"/>
  <c r="D15" i="2"/>
  <c r="C15" i="2"/>
  <c r="L14" i="2"/>
  <c r="K14" i="2"/>
  <c r="J14" i="2"/>
  <c r="I14" i="2"/>
  <c r="H14" i="2"/>
  <c r="G14" i="2"/>
  <c r="F14" i="2"/>
  <c r="E14" i="2"/>
  <c r="D14" i="2"/>
  <c r="C14" i="2"/>
  <c r="Q19" i="2"/>
  <c r="F25" i="12"/>
  <c r="H25" i="12" s="1"/>
  <c r="F23" i="12"/>
  <c r="H23" i="12" s="1"/>
  <c r="F78" i="4"/>
  <c r="F77" i="4"/>
  <c r="F76" i="4"/>
  <c r="G73" i="4"/>
  <c r="H73" i="4" s="1"/>
  <c r="G72" i="4"/>
  <c r="F72" i="4"/>
  <c r="G71" i="4"/>
  <c r="H71" i="4" s="1"/>
  <c r="G70" i="4"/>
  <c r="F70" i="4"/>
  <c r="G69" i="4"/>
  <c r="H69" i="4" s="1"/>
  <c r="G61" i="4"/>
  <c r="F61" i="4"/>
  <c r="G60" i="4"/>
  <c r="F60" i="4"/>
  <c r="K55" i="4"/>
  <c r="K54" i="4"/>
  <c r="K52" i="4"/>
  <c r="K51" i="4"/>
  <c r="C48" i="4"/>
  <c r="I41" i="4"/>
  <c r="I38" i="4"/>
  <c r="F66" i="4" s="1"/>
  <c r="J61" i="4" s="1"/>
  <c r="I18" i="4"/>
  <c r="G17" i="2" s="1"/>
  <c r="I17" i="4"/>
  <c r="F17" i="2" s="1"/>
  <c r="I16" i="4"/>
  <c r="E17" i="2" s="1"/>
  <c r="I15" i="4"/>
  <c r="D17" i="2" s="1"/>
  <c r="I14" i="4"/>
  <c r="I13" i="4"/>
  <c r="I11" i="4"/>
  <c r="M17" i="2" s="1"/>
  <c r="I10" i="4"/>
  <c r="I42" i="4" s="1"/>
  <c r="J8" i="2" s="1"/>
  <c r="J7" i="4"/>
  <c r="F28" i="11"/>
  <c r="F27" i="11"/>
  <c r="F26" i="11"/>
  <c r="O23" i="11"/>
  <c r="F23" i="11"/>
  <c r="H23" i="11" s="1"/>
  <c r="D23" i="11"/>
  <c r="O22" i="11"/>
  <c r="F22" i="11"/>
  <c r="H22" i="11" s="1"/>
  <c r="D22" i="11"/>
  <c r="O15" i="11"/>
  <c r="F15" i="11"/>
  <c r="H15" i="11" s="1"/>
  <c r="D15" i="11"/>
  <c r="O14" i="11"/>
  <c r="F14" i="11"/>
  <c r="K14" i="11" s="1"/>
  <c r="D14" i="11"/>
  <c r="O13" i="11"/>
  <c r="F13" i="11"/>
  <c r="H13" i="11" s="1"/>
  <c r="D13" i="11"/>
  <c r="O12" i="11"/>
  <c r="F12" i="11"/>
  <c r="D12" i="11"/>
  <c r="O11" i="11"/>
  <c r="F11" i="11"/>
  <c r="H11" i="11" s="1"/>
  <c r="D11" i="11"/>
  <c r="O10" i="11"/>
  <c r="F10" i="11"/>
  <c r="K10" i="11" s="1"/>
  <c r="D10" i="11"/>
  <c r="F208" i="6"/>
  <c r="P23" i="11" s="1"/>
  <c r="F207" i="6"/>
  <c r="H207" i="6" s="1"/>
  <c r="F206" i="6"/>
  <c r="P15" i="11" s="1"/>
  <c r="F205" i="6"/>
  <c r="P14" i="11" s="1"/>
  <c r="F204" i="6"/>
  <c r="P13" i="11" s="1"/>
  <c r="F203" i="6"/>
  <c r="H203" i="6" s="1"/>
  <c r="F202" i="6"/>
  <c r="P11" i="11" s="1"/>
  <c r="F201" i="6"/>
  <c r="P10" i="11" s="1"/>
  <c r="F44" i="10"/>
  <c r="F38" i="10"/>
  <c r="G51" i="10" s="1"/>
  <c r="F37" i="10"/>
  <c r="K23" i="10"/>
  <c r="J7" i="10"/>
  <c r="F39" i="9"/>
  <c r="F38" i="9"/>
  <c r="F37" i="9"/>
  <c r="F20" i="9"/>
  <c r="F19" i="9"/>
  <c r="F12" i="9"/>
  <c r="G45" i="9" s="1"/>
  <c r="F11" i="9"/>
  <c r="F10" i="9"/>
  <c r="J62" i="5"/>
  <c r="J55" i="5"/>
  <c r="J54" i="5"/>
  <c r="F65" i="10" s="1"/>
  <c r="P42" i="5"/>
  <c r="O42" i="5"/>
  <c r="N42" i="5"/>
  <c r="M42" i="5"/>
  <c r="L42" i="5"/>
  <c r="K42" i="5"/>
  <c r="K62" i="5" s="1"/>
  <c r="I42" i="5"/>
  <c r="I62" i="5" s="1"/>
  <c r="H42" i="5"/>
  <c r="G42" i="5"/>
  <c r="F42" i="5"/>
  <c r="P7" i="5"/>
  <c r="P7" i="10" s="1"/>
  <c r="O7" i="5"/>
  <c r="O7" i="10" s="1"/>
  <c r="N7" i="5"/>
  <c r="N7" i="10" s="1"/>
  <c r="M7" i="5"/>
  <c r="M7" i="10" s="1"/>
  <c r="L7" i="5"/>
  <c r="L7" i="10" s="1"/>
  <c r="K7" i="5"/>
  <c r="K7" i="10" s="1"/>
  <c r="I7" i="5"/>
  <c r="I7" i="10" s="1"/>
  <c r="H7" i="5"/>
  <c r="H7" i="10" s="1"/>
  <c r="G7" i="5"/>
  <c r="G7" i="10" s="1"/>
  <c r="F7" i="5"/>
  <c r="F7" i="10" s="1"/>
  <c r="J353" i="8"/>
  <c r="K353" i="8" s="1"/>
  <c r="L353" i="8" s="1"/>
  <c r="M353" i="8" s="1"/>
  <c r="N353" i="8" s="1"/>
  <c r="O353" i="8" s="1"/>
  <c r="P353" i="8" s="1"/>
  <c r="I353" i="8"/>
  <c r="H353" i="8"/>
  <c r="G353" i="8"/>
  <c r="F353" i="8"/>
  <c r="I352" i="8"/>
  <c r="H352" i="8"/>
  <c r="G352" i="8"/>
  <c r="F352" i="8"/>
  <c r="I351" i="8"/>
  <c r="H351" i="8"/>
  <c r="G351" i="8"/>
  <c r="F351" i="8"/>
  <c r="I350" i="8"/>
  <c r="H350" i="8"/>
  <c r="G350" i="8"/>
  <c r="F350" i="8"/>
  <c r="I345" i="8"/>
  <c r="H345" i="8"/>
  <c r="G345" i="8"/>
  <c r="F345" i="8"/>
  <c r="J344" i="8"/>
  <c r="K344" i="8" s="1"/>
  <c r="L344" i="8" s="1"/>
  <c r="M344" i="8" s="1"/>
  <c r="N344" i="8" s="1"/>
  <c r="O344" i="8" s="1"/>
  <c r="P344" i="8" s="1"/>
  <c r="I344" i="8"/>
  <c r="H344" i="8"/>
  <c r="G344" i="8"/>
  <c r="F344" i="8"/>
  <c r="I343" i="8"/>
  <c r="H343" i="8"/>
  <c r="G343" i="8"/>
  <c r="F343" i="8"/>
  <c r="J342" i="8"/>
  <c r="K342" i="8" s="1"/>
  <c r="L342" i="8" s="1"/>
  <c r="I342" i="8"/>
  <c r="H342" i="8"/>
  <c r="G342" i="8"/>
  <c r="F342" i="8"/>
  <c r="I338" i="8"/>
  <c r="H338" i="8"/>
  <c r="G338" i="8"/>
  <c r="F338" i="8"/>
  <c r="I337" i="8"/>
  <c r="H337" i="8"/>
  <c r="G337" i="8"/>
  <c r="F337" i="8"/>
  <c r="I336" i="8"/>
  <c r="H336" i="8"/>
  <c r="G336" i="8"/>
  <c r="F336" i="8"/>
  <c r="J335" i="8"/>
  <c r="K335" i="8" s="1"/>
  <c r="L335" i="8" s="1"/>
  <c r="M335" i="8" s="1"/>
  <c r="N335" i="8" s="1"/>
  <c r="O335" i="8" s="1"/>
  <c r="P335" i="8" s="1"/>
  <c r="I335" i="8"/>
  <c r="H335" i="8"/>
  <c r="G335" i="8"/>
  <c r="F335" i="8"/>
  <c r="I334" i="8"/>
  <c r="H334" i="8"/>
  <c r="G334" i="8"/>
  <c r="F334" i="8"/>
  <c r="I321" i="8"/>
  <c r="H321" i="8"/>
  <c r="G321" i="8"/>
  <c r="F321" i="8"/>
  <c r="I315" i="8"/>
  <c r="H315" i="8"/>
  <c r="G315" i="8"/>
  <c r="F315" i="8"/>
  <c r="I314" i="8"/>
  <c r="H314" i="8"/>
  <c r="G314" i="8"/>
  <c r="F314" i="8"/>
  <c r="J313" i="8"/>
  <c r="I313" i="8"/>
  <c r="H313" i="8"/>
  <c r="G313" i="8"/>
  <c r="F313" i="8"/>
  <c r="I308" i="8"/>
  <c r="H308" i="8"/>
  <c r="G308" i="8"/>
  <c r="F308" i="8"/>
  <c r="I307" i="8"/>
  <c r="U31" i="2" s="1"/>
  <c r="H307" i="8"/>
  <c r="T31" i="2" s="1"/>
  <c r="G307" i="8"/>
  <c r="S31" i="2" s="1"/>
  <c r="F307" i="8"/>
  <c r="R31" i="2" s="1"/>
  <c r="I302" i="8"/>
  <c r="I24" i="5" s="1"/>
  <c r="I14" i="10" s="1"/>
  <c r="H302" i="8"/>
  <c r="H24" i="5" s="1"/>
  <c r="H14" i="10" s="1"/>
  <c r="G302" i="8"/>
  <c r="G24" i="5" s="1"/>
  <c r="G14" i="10" s="1"/>
  <c r="F302" i="8"/>
  <c r="F24" i="5" s="1"/>
  <c r="F14" i="10" s="1"/>
  <c r="I301" i="8"/>
  <c r="H301" i="8"/>
  <c r="G301" i="8"/>
  <c r="F301" i="8"/>
  <c r="I300" i="8"/>
  <c r="I22" i="5" s="1"/>
  <c r="I12" i="10" s="1"/>
  <c r="H300" i="8"/>
  <c r="H22" i="5" s="1"/>
  <c r="G300" i="8"/>
  <c r="G22" i="5" s="1"/>
  <c r="G12" i="10" s="1"/>
  <c r="F300" i="8"/>
  <c r="F22" i="5" s="1"/>
  <c r="F12" i="10" s="1"/>
  <c r="I299" i="8"/>
  <c r="H299" i="8"/>
  <c r="G299" i="8"/>
  <c r="F299" i="8"/>
  <c r="I287" i="8"/>
  <c r="H287" i="8"/>
  <c r="G287" i="8"/>
  <c r="F287" i="8"/>
  <c r="I285" i="8"/>
  <c r="H285" i="8"/>
  <c r="G285" i="8"/>
  <c r="F285" i="8"/>
  <c r="J280" i="8"/>
  <c r="I280" i="8"/>
  <c r="H280" i="8"/>
  <c r="G280" i="8"/>
  <c r="F280" i="8"/>
  <c r="I279" i="8"/>
  <c r="H279" i="8"/>
  <c r="G279" i="8"/>
  <c r="F279" i="8"/>
  <c r="I277" i="8"/>
  <c r="I155" i="8" s="1"/>
  <c r="H277" i="8"/>
  <c r="H155" i="8" s="1"/>
  <c r="G277" i="8"/>
  <c r="G155" i="8" s="1"/>
  <c r="F277" i="8"/>
  <c r="F155" i="8" s="1"/>
  <c r="I276" i="8"/>
  <c r="I154" i="8" s="1"/>
  <c r="H276" i="8"/>
  <c r="H154" i="8" s="1"/>
  <c r="G276" i="8"/>
  <c r="G154" i="8" s="1"/>
  <c r="F276" i="8"/>
  <c r="I275" i="8"/>
  <c r="I153" i="8" s="1"/>
  <c r="H275" i="8"/>
  <c r="H153" i="8" s="1"/>
  <c r="G275" i="8"/>
  <c r="G153" i="8" s="1"/>
  <c r="F275" i="8"/>
  <c r="F153" i="8" s="1"/>
  <c r="I267" i="8"/>
  <c r="H267" i="8"/>
  <c r="G267" i="8"/>
  <c r="F267" i="8"/>
  <c r="I266" i="8"/>
  <c r="H266" i="8"/>
  <c r="G266" i="8"/>
  <c r="F266" i="8"/>
  <c r="I265" i="8"/>
  <c r="H265" i="8"/>
  <c r="G265" i="8"/>
  <c r="F265" i="8"/>
  <c r="I260" i="8"/>
  <c r="H260" i="8"/>
  <c r="G260" i="8"/>
  <c r="F260" i="8"/>
  <c r="I259" i="8"/>
  <c r="I10" i="5" s="1"/>
  <c r="J26" i="11" s="1"/>
  <c r="H259" i="8"/>
  <c r="H10" i="5" s="1"/>
  <c r="T22" i="2" s="1"/>
  <c r="G259" i="8"/>
  <c r="G10" i="5" s="1"/>
  <c r="S22" i="2" s="1"/>
  <c r="F259" i="8"/>
  <c r="F10" i="5" s="1"/>
  <c r="R22" i="2" s="1"/>
  <c r="I237" i="8"/>
  <c r="I244" i="8" s="1"/>
  <c r="H237" i="8"/>
  <c r="H244" i="8" s="1"/>
  <c r="G237" i="8"/>
  <c r="G244" i="8" s="1"/>
  <c r="F237" i="8"/>
  <c r="F244" i="8" s="1"/>
  <c r="K236" i="8"/>
  <c r="J236" i="8"/>
  <c r="J287" i="8" s="1"/>
  <c r="I236" i="8"/>
  <c r="H236" i="8"/>
  <c r="G236" i="8"/>
  <c r="F236" i="8"/>
  <c r="P235" i="8"/>
  <c r="O235" i="8"/>
  <c r="N235" i="8"/>
  <c r="M235" i="8"/>
  <c r="L235" i="8"/>
  <c r="I234" i="8"/>
  <c r="I243" i="8" s="1"/>
  <c r="H234" i="8"/>
  <c r="H243" i="8" s="1"/>
  <c r="G234" i="8"/>
  <c r="F234" i="8"/>
  <c r="F243" i="8" s="1"/>
  <c r="P233" i="8"/>
  <c r="O233" i="8"/>
  <c r="N233" i="8"/>
  <c r="M233" i="8"/>
  <c r="L233" i="8"/>
  <c r="K233" i="8"/>
  <c r="P232" i="8"/>
  <c r="P285" i="8" s="1"/>
  <c r="O232" i="8"/>
  <c r="O285" i="8" s="1"/>
  <c r="N232" i="8"/>
  <c r="N285" i="8" s="1"/>
  <c r="M232" i="8"/>
  <c r="M285" i="8" s="1"/>
  <c r="L232" i="8"/>
  <c r="L285" i="8" s="1"/>
  <c r="K232" i="8"/>
  <c r="K285" i="8" s="1"/>
  <c r="J232" i="8"/>
  <c r="J285" i="8" s="1"/>
  <c r="F63" i="10" s="1"/>
  <c r="J18" i="4" s="1"/>
  <c r="K18" i="4" s="1"/>
  <c r="I232" i="8"/>
  <c r="H232" i="8"/>
  <c r="G232" i="8"/>
  <c r="F232" i="8"/>
  <c r="J229" i="8"/>
  <c r="J234" i="8" s="1"/>
  <c r="I229" i="8"/>
  <c r="I242" i="8" s="1"/>
  <c r="H229" i="8"/>
  <c r="H242" i="8" s="1"/>
  <c r="G229" i="8"/>
  <c r="G242" i="8" s="1"/>
  <c r="F229" i="8"/>
  <c r="F242" i="8" s="1"/>
  <c r="P228" i="8"/>
  <c r="O228" i="8"/>
  <c r="N228" i="8"/>
  <c r="M228" i="8"/>
  <c r="L228" i="8"/>
  <c r="K228" i="8"/>
  <c r="I228" i="8"/>
  <c r="H228" i="8"/>
  <c r="G228" i="8"/>
  <c r="F228" i="8"/>
  <c r="I215" i="8"/>
  <c r="H215" i="8"/>
  <c r="G215" i="8"/>
  <c r="F215" i="8"/>
  <c r="I214" i="8"/>
  <c r="H214" i="8"/>
  <c r="G214" i="8"/>
  <c r="F214" i="8"/>
  <c r="P211" i="8"/>
  <c r="O211" i="8"/>
  <c r="N211" i="8"/>
  <c r="M211" i="8"/>
  <c r="L211" i="8"/>
  <c r="K211" i="8"/>
  <c r="J210" i="8"/>
  <c r="P209" i="8"/>
  <c r="O209" i="8"/>
  <c r="N209" i="8"/>
  <c r="M209" i="8"/>
  <c r="L209" i="8"/>
  <c r="K209" i="8"/>
  <c r="J208" i="8"/>
  <c r="P204" i="8"/>
  <c r="O204" i="8"/>
  <c r="N204" i="8"/>
  <c r="M204" i="8"/>
  <c r="L204" i="8"/>
  <c r="K204" i="8"/>
  <c r="J203" i="8"/>
  <c r="K201" i="8" s="1"/>
  <c r="P202" i="8"/>
  <c r="O202" i="8"/>
  <c r="N202" i="8"/>
  <c r="M202" i="8"/>
  <c r="L202" i="8"/>
  <c r="K202" i="8"/>
  <c r="J201" i="8"/>
  <c r="K194" i="8"/>
  <c r="I185" i="8"/>
  <c r="H185" i="8"/>
  <c r="G185" i="8"/>
  <c r="F185" i="8"/>
  <c r="P184" i="8"/>
  <c r="O184" i="8"/>
  <c r="N184" i="8"/>
  <c r="M184" i="8"/>
  <c r="L184" i="8"/>
  <c r="K184" i="8"/>
  <c r="I183" i="8"/>
  <c r="J181" i="8" s="1"/>
  <c r="H183" i="8"/>
  <c r="G183" i="8"/>
  <c r="F183" i="8"/>
  <c r="G181" i="8" s="1"/>
  <c r="F181" i="8"/>
  <c r="J169" i="8"/>
  <c r="J345" i="8" s="1"/>
  <c r="I169" i="8"/>
  <c r="J167" i="8" s="1"/>
  <c r="H169" i="8"/>
  <c r="I167" i="8" s="1"/>
  <c r="G169" i="8"/>
  <c r="H167" i="8" s="1"/>
  <c r="F169" i="8"/>
  <c r="G167" i="8" s="1"/>
  <c r="F167" i="8"/>
  <c r="I164" i="8"/>
  <c r="H164" i="8"/>
  <c r="G164" i="8"/>
  <c r="F164" i="8"/>
  <c r="P162" i="8"/>
  <c r="O162" i="8"/>
  <c r="N162" i="8"/>
  <c r="M162" i="8"/>
  <c r="L162" i="8"/>
  <c r="K162" i="8"/>
  <c r="I161" i="8"/>
  <c r="H161" i="8"/>
  <c r="G161" i="8"/>
  <c r="F161" i="8"/>
  <c r="P160" i="8"/>
  <c r="P19" i="5" s="1"/>
  <c r="O160" i="8"/>
  <c r="O19" i="5" s="1"/>
  <c r="N160" i="8"/>
  <c r="N19" i="5" s="1"/>
  <c r="M160" i="8"/>
  <c r="M19" i="5" s="1"/>
  <c r="L160" i="8"/>
  <c r="L19" i="5" s="1"/>
  <c r="K160" i="8"/>
  <c r="K19" i="5" s="1"/>
  <c r="P159" i="8"/>
  <c r="O159" i="8"/>
  <c r="N159" i="8"/>
  <c r="M159" i="8"/>
  <c r="L159" i="8"/>
  <c r="K159" i="8"/>
  <c r="P155" i="8"/>
  <c r="P277" i="8" s="1"/>
  <c r="O155" i="8"/>
  <c r="O277" i="8" s="1"/>
  <c r="N155" i="8"/>
  <c r="N277" i="8" s="1"/>
  <c r="M155" i="8"/>
  <c r="M277" i="8" s="1"/>
  <c r="L155" i="8"/>
  <c r="L277" i="8" s="1"/>
  <c r="K155" i="8"/>
  <c r="K277" i="8" s="1"/>
  <c r="J155" i="8"/>
  <c r="J277" i="8" s="1"/>
  <c r="J154" i="8"/>
  <c r="J276" i="8" s="1"/>
  <c r="F154" i="8"/>
  <c r="J153" i="8"/>
  <c r="J275" i="8" s="1"/>
  <c r="I137" i="8"/>
  <c r="H137" i="8"/>
  <c r="G137" i="8"/>
  <c r="F137" i="8"/>
  <c r="I136" i="8"/>
  <c r="H136" i="8"/>
  <c r="G136" i="8"/>
  <c r="F136" i="8"/>
  <c r="I135" i="8"/>
  <c r="H135" i="8"/>
  <c r="G135" i="8"/>
  <c r="F135" i="8"/>
  <c r="I134" i="8"/>
  <c r="H134" i="8"/>
  <c r="G134" i="8"/>
  <c r="F134" i="8"/>
  <c r="I133" i="8"/>
  <c r="H133" i="8"/>
  <c r="G133" i="8"/>
  <c r="F133" i="8"/>
  <c r="P130" i="8"/>
  <c r="O130" i="8"/>
  <c r="N130" i="8"/>
  <c r="M130" i="8"/>
  <c r="L130" i="8"/>
  <c r="K130" i="8"/>
  <c r="J130" i="8"/>
  <c r="P129" i="8"/>
  <c r="O129" i="8"/>
  <c r="N129" i="8"/>
  <c r="M129" i="8"/>
  <c r="L129" i="8"/>
  <c r="K129" i="8"/>
  <c r="J129" i="8"/>
  <c r="P128" i="8"/>
  <c r="O128" i="8"/>
  <c r="N128" i="8"/>
  <c r="M128" i="8"/>
  <c r="L128" i="8"/>
  <c r="K128" i="8"/>
  <c r="J128" i="8"/>
  <c r="P127" i="8"/>
  <c r="O127" i="8"/>
  <c r="N127" i="8"/>
  <c r="M127" i="8"/>
  <c r="L127" i="8"/>
  <c r="K127" i="8"/>
  <c r="J127" i="8"/>
  <c r="P126" i="8"/>
  <c r="O126" i="8"/>
  <c r="N126" i="8"/>
  <c r="M126" i="8"/>
  <c r="L126" i="8"/>
  <c r="K126" i="8"/>
  <c r="J126" i="8"/>
  <c r="I121" i="8"/>
  <c r="J121" i="8" s="1"/>
  <c r="K121" i="8" s="1"/>
  <c r="L121" i="8" s="1"/>
  <c r="M121" i="8" s="1"/>
  <c r="N121" i="8" s="1"/>
  <c r="O121" i="8" s="1"/>
  <c r="P121" i="8" s="1"/>
  <c r="H121" i="8"/>
  <c r="G121" i="8"/>
  <c r="F121" i="8"/>
  <c r="I109" i="8"/>
  <c r="J94" i="8" s="1"/>
  <c r="H109" i="8"/>
  <c r="G109" i="8"/>
  <c r="F109" i="8"/>
  <c r="G94" i="8" s="1"/>
  <c r="J106" i="8"/>
  <c r="J300" i="8" s="1"/>
  <c r="J22" i="5" s="1"/>
  <c r="J12" i="10" s="1"/>
  <c r="I106" i="8"/>
  <c r="H106" i="8"/>
  <c r="G106" i="8"/>
  <c r="F106" i="8"/>
  <c r="F94" i="8"/>
  <c r="E92" i="8"/>
  <c r="E91" i="8"/>
  <c r="J86" i="8"/>
  <c r="P85" i="8"/>
  <c r="O85" i="8"/>
  <c r="N85" i="8"/>
  <c r="M85" i="8"/>
  <c r="L85" i="8"/>
  <c r="K85" i="8"/>
  <c r="P65" i="8"/>
  <c r="P267" i="8" s="1"/>
  <c r="O65" i="8"/>
  <c r="O267" i="8" s="1"/>
  <c r="N65" i="8"/>
  <c r="N267" i="8" s="1"/>
  <c r="M65" i="8"/>
  <c r="M267" i="8" s="1"/>
  <c r="L65" i="8"/>
  <c r="L267" i="8" s="1"/>
  <c r="K65" i="8"/>
  <c r="K267" i="8" s="1"/>
  <c r="J65" i="8"/>
  <c r="J267" i="8" s="1"/>
  <c r="I65" i="8"/>
  <c r="H65" i="8"/>
  <c r="G65" i="8"/>
  <c r="F65" i="8"/>
  <c r="J64" i="8"/>
  <c r="J266" i="8" s="1"/>
  <c r="I64" i="8"/>
  <c r="H64" i="8"/>
  <c r="G64" i="8"/>
  <c r="F64" i="8"/>
  <c r="F63" i="8" s="1"/>
  <c r="P63" i="8"/>
  <c r="O63" i="8"/>
  <c r="N63" i="8"/>
  <c r="M63" i="8"/>
  <c r="L63" i="8"/>
  <c r="K63" i="8"/>
  <c r="J62" i="8"/>
  <c r="J265" i="8" s="1"/>
  <c r="I62" i="8"/>
  <c r="H62" i="8"/>
  <c r="G62" i="8"/>
  <c r="F62" i="8"/>
  <c r="F61" i="8" s="1"/>
  <c r="P61" i="8"/>
  <c r="O61" i="8"/>
  <c r="N61" i="8"/>
  <c r="M61" i="8"/>
  <c r="L61" i="8"/>
  <c r="K61" i="8"/>
  <c r="J52" i="8"/>
  <c r="I52" i="8"/>
  <c r="H52" i="8"/>
  <c r="H56" i="8" s="1"/>
  <c r="G52" i="8"/>
  <c r="G56" i="8" s="1"/>
  <c r="F52" i="8"/>
  <c r="F123" i="8" s="1"/>
  <c r="P48" i="8"/>
  <c r="O48" i="8"/>
  <c r="N48" i="8"/>
  <c r="M48" i="8"/>
  <c r="L48" i="8"/>
  <c r="K48" i="8"/>
  <c r="K50" i="8" s="1"/>
  <c r="J44" i="8"/>
  <c r="J79" i="8" s="1"/>
  <c r="J118" i="8" s="1"/>
  <c r="J149" i="8" s="1"/>
  <c r="J178" i="8" s="1"/>
  <c r="J225" i="8" s="1"/>
  <c r="J256" i="8" s="1"/>
  <c r="I27" i="8"/>
  <c r="H27" i="8"/>
  <c r="G27" i="8"/>
  <c r="F27" i="8"/>
  <c r="P26" i="8"/>
  <c r="O26" i="8"/>
  <c r="N26" i="8"/>
  <c r="M26" i="8"/>
  <c r="L26" i="8"/>
  <c r="K26" i="8"/>
  <c r="P7" i="8"/>
  <c r="P44" i="8" s="1"/>
  <c r="P79" i="8" s="1"/>
  <c r="O7" i="8"/>
  <c r="O44" i="8" s="1"/>
  <c r="O79" i="8" s="1"/>
  <c r="N7" i="8"/>
  <c r="N44" i="8" s="1"/>
  <c r="N79" i="8" s="1"/>
  <c r="M7" i="8"/>
  <c r="M44" i="8" s="1"/>
  <c r="M79" i="8" s="1"/>
  <c r="L7" i="8"/>
  <c r="L44" i="8" s="1"/>
  <c r="L79" i="8" s="1"/>
  <c r="K7" i="8"/>
  <c r="K44" i="8" s="1"/>
  <c r="K79" i="8" s="1"/>
  <c r="I7" i="8"/>
  <c r="I44" i="8" s="1"/>
  <c r="I79" i="8" s="1"/>
  <c r="I118" i="8" s="1"/>
  <c r="I149" i="8" s="1"/>
  <c r="I178" i="8" s="1"/>
  <c r="I225" i="8" s="1"/>
  <c r="I256" i="8" s="1"/>
  <c r="H7" i="8"/>
  <c r="H44" i="8" s="1"/>
  <c r="H79" i="8" s="1"/>
  <c r="H118" i="8" s="1"/>
  <c r="H149" i="8" s="1"/>
  <c r="H178" i="8" s="1"/>
  <c r="H225" i="8" s="1"/>
  <c r="H256" i="8" s="1"/>
  <c r="G7" i="8"/>
  <c r="G44" i="8" s="1"/>
  <c r="G79" i="8" s="1"/>
  <c r="G118" i="8" s="1"/>
  <c r="G149" i="8" s="1"/>
  <c r="G178" i="8" s="1"/>
  <c r="G225" i="8" s="1"/>
  <c r="G256" i="8" s="1"/>
  <c r="F7" i="8"/>
  <c r="F44" i="8" s="1"/>
  <c r="F79" i="8" s="1"/>
  <c r="F118" i="8" s="1"/>
  <c r="F149" i="8" s="1"/>
  <c r="F178" i="8" s="1"/>
  <c r="F225" i="8" s="1"/>
  <c r="F256" i="8" s="1"/>
  <c r="H91" i="7"/>
  <c r="G91" i="7"/>
  <c r="F91" i="7"/>
  <c r="E91" i="7"/>
  <c r="D91" i="7"/>
  <c r="H90" i="7"/>
  <c r="G90" i="7"/>
  <c r="F90" i="7"/>
  <c r="E90" i="7"/>
  <c r="D90" i="7"/>
  <c r="H83" i="7"/>
  <c r="G83" i="7"/>
  <c r="F83" i="7"/>
  <c r="E83" i="7"/>
  <c r="D83" i="7"/>
  <c r="H82" i="7"/>
  <c r="G82" i="7"/>
  <c r="F82" i="7"/>
  <c r="E82" i="7"/>
  <c r="D82" i="7"/>
  <c r="H81" i="7"/>
  <c r="G81" i="7"/>
  <c r="F81" i="7"/>
  <c r="E81" i="7"/>
  <c r="D81" i="7"/>
  <c r="G80" i="7"/>
  <c r="F80" i="7"/>
  <c r="E80" i="7"/>
  <c r="D80" i="7"/>
  <c r="H79" i="7"/>
  <c r="G79" i="7"/>
  <c r="F79" i="7"/>
  <c r="E79" i="7"/>
  <c r="D79" i="7"/>
  <c r="H58" i="7"/>
  <c r="G58" i="7"/>
  <c r="F58" i="7"/>
  <c r="E58" i="7"/>
  <c r="D58" i="7"/>
  <c r="H57" i="7"/>
  <c r="G57" i="7"/>
  <c r="F57" i="7"/>
  <c r="E57" i="7"/>
  <c r="D57" i="7"/>
  <c r="H56" i="7"/>
  <c r="G56" i="7"/>
  <c r="F56" i="7"/>
  <c r="E56" i="7"/>
  <c r="D56" i="7"/>
  <c r="H48" i="7"/>
  <c r="H49" i="7" s="1"/>
  <c r="G48" i="7"/>
  <c r="G49" i="7" s="1"/>
  <c r="F48" i="7"/>
  <c r="F49" i="7" s="1"/>
  <c r="E48" i="7"/>
  <c r="E49" i="7" s="1"/>
  <c r="D48" i="7"/>
  <c r="D49" i="7" s="1"/>
  <c r="H46" i="7"/>
  <c r="G46" i="7"/>
  <c r="I86" i="8" s="1"/>
  <c r="F46" i="7"/>
  <c r="H86" i="8" s="1"/>
  <c r="E46" i="7"/>
  <c r="G86" i="8" s="1"/>
  <c r="D46" i="7"/>
  <c r="F86" i="8" s="1"/>
  <c r="H44" i="7"/>
  <c r="G44" i="7"/>
  <c r="F44" i="7"/>
  <c r="E44" i="7"/>
  <c r="G84" i="8" s="1"/>
  <c r="D44" i="7"/>
  <c r="F84" i="8" s="1"/>
  <c r="G36" i="7"/>
  <c r="F36" i="7"/>
  <c r="E36" i="7"/>
  <c r="D36" i="7"/>
  <c r="H35" i="7"/>
  <c r="G35" i="7"/>
  <c r="F35" i="7"/>
  <c r="E35" i="7"/>
  <c r="D35" i="7"/>
  <c r="G34" i="7"/>
  <c r="F34" i="7"/>
  <c r="E34" i="7"/>
  <c r="D34" i="7"/>
  <c r="H33" i="7"/>
  <c r="G33" i="7"/>
  <c r="F33" i="7"/>
  <c r="E33" i="7"/>
  <c r="D33" i="7"/>
  <c r="H26" i="7"/>
  <c r="G26" i="7"/>
  <c r="I19" i="8" s="1"/>
  <c r="F26" i="7"/>
  <c r="H19" i="8" s="1"/>
  <c r="E26" i="7"/>
  <c r="G19" i="8" s="1"/>
  <c r="D26" i="7"/>
  <c r="F19" i="8" s="1"/>
  <c r="H25" i="7"/>
  <c r="G25" i="7"/>
  <c r="I18" i="8" s="1"/>
  <c r="F25" i="7"/>
  <c r="H18" i="8" s="1"/>
  <c r="E25" i="7"/>
  <c r="G18" i="8" s="1"/>
  <c r="D25" i="7"/>
  <c r="F18" i="8" s="1"/>
  <c r="H24" i="7"/>
  <c r="G24" i="7"/>
  <c r="F24" i="7"/>
  <c r="H11" i="8" s="1"/>
  <c r="E24" i="7"/>
  <c r="G11" i="8" s="1"/>
  <c r="D24" i="7"/>
  <c r="F11" i="8" s="1"/>
  <c r="H23" i="7"/>
  <c r="G23" i="7"/>
  <c r="I10" i="8" s="1"/>
  <c r="F23" i="7"/>
  <c r="E23" i="7"/>
  <c r="D23" i="7"/>
  <c r="H17" i="7"/>
  <c r="G17" i="7"/>
  <c r="G21" i="7" s="1"/>
  <c r="I23" i="8" s="1"/>
  <c r="F17" i="7"/>
  <c r="H22" i="8" s="1"/>
  <c r="E17" i="7"/>
  <c r="E21" i="7" s="1"/>
  <c r="G23" i="8" s="1"/>
  <c r="D17" i="7"/>
  <c r="H16" i="7"/>
  <c r="G16" i="7"/>
  <c r="G20" i="7" s="1"/>
  <c r="I15" i="8" s="1"/>
  <c r="F16" i="7"/>
  <c r="E16" i="7"/>
  <c r="E20" i="7" s="1"/>
  <c r="G15" i="8" s="1"/>
  <c r="D16" i="7"/>
  <c r="F14" i="8" s="1"/>
  <c r="H13" i="7"/>
  <c r="H78" i="7" s="1"/>
  <c r="G13" i="7"/>
  <c r="G78" i="7" s="1"/>
  <c r="F13" i="7"/>
  <c r="F78" i="7" s="1"/>
  <c r="E13" i="7"/>
  <c r="D13" i="7"/>
  <c r="D55" i="7" s="1"/>
  <c r="B2" i="7"/>
  <c r="D183" i="6"/>
  <c r="D180" i="6"/>
  <c r="M162" i="6"/>
  <c r="L162" i="6"/>
  <c r="J20" i="3" s="1"/>
  <c r="J27" i="8" s="1"/>
  <c r="K162" i="6"/>
  <c r="J162" i="6"/>
  <c r="H162" i="6"/>
  <c r="G162" i="6"/>
  <c r="F162" i="6"/>
  <c r="E18" i="7" s="1"/>
  <c r="E162" i="6"/>
  <c r="D162" i="6"/>
  <c r="G157" i="6"/>
  <c r="F157" i="6"/>
  <c r="E157" i="6"/>
  <c r="D157" i="6"/>
  <c r="M137" i="6"/>
  <c r="H137" i="6"/>
  <c r="G137" i="6"/>
  <c r="F137" i="6"/>
  <c r="E137" i="6"/>
  <c r="D137" i="6"/>
  <c r="M132" i="6"/>
  <c r="J316" i="8" s="1"/>
  <c r="H132" i="6"/>
  <c r="G132" i="6"/>
  <c r="F132" i="6"/>
  <c r="E132" i="6"/>
  <c r="D132" i="6"/>
  <c r="M122" i="6"/>
  <c r="J309" i="8" s="1"/>
  <c r="L122" i="6"/>
  <c r="K122" i="6"/>
  <c r="J122" i="6"/>
  <c r="I122" i="6"/>
  <c r="H122" i="6"/>
  <c r="G122" i="6"/>
  <c r="F122" i="6"/>
  <c r="E122" i="6"/>
  <c r="D122" i="6"/>
  <c r="M113" i="6"/>
  <c r="H70" i="7" s="1"/>
  <c r="H113" i="6"/>
  <c r="G113" i="6"/>
  <c r="F113" i="6"/>
  <c r="E113" i="6"/>
  <c r="D113" i="6"/>
  <c r="M87" i="6"/>
  <c r="M89" i="6" s="1"/>
  <c r="L87" i="6"/>
  <c r="L89" i="6" s="1"/>
  <c r="H87" i="6"/>
  <c r="H89" i="6" s="1"/>
  <c r="G87" i="6"/>
  <c r="G89" i="6" s="1"/>
  <c r="F87" i="6"/>
  <c r="F89" i="6" s="1"/>
  <c r="E87" i="6"/>
  <c r="E89" i="6" s="1"/>
  <c r="D85" i="6"/>
  <c r="D87" i="6" s="1"/>
  <c r="D89" i="6" s="1"/>
  <c r="F240" i="8" s="1"/>
  <c r="M79" i="6"/>
  <c r="L79" i="6"/>
  <c r="H79" i="6"/>
  <c r="G79" i="6"/>
  <c r="F79" i="6"/>
  <c r="E79" i="6"/>
  <c r="D79" i="6"/>
  <c r="M73" i="6"/>
  <c r="L73" i="6"/>
  <c r="H73" i="6"/>
  <c r="G73" i="6"/>
  <c r="F73" i="6"/>
  <c r="E73" i="6"/>
  <c r="D73" i="6"/>
  <c r="M66" i="6"/>
  <c r="L66" i="6"/>
  <c r="H66" i="6"/>
  <c r="G66" i="6"/>
  <c r="F66" i="6"/>
  <c r="E66" i="6"/>
  <c r="D66" i="6"/>
  <c r="M57" i="6"/>
  <c r="L57" i="6"/>
  <c r="H57" i="6"/>
  <c r="G57" i="6"/>
  <c r="F57" i="6"/>
  <c r="E57" i="6"/>
  <c r="D57" i="6"/>
  <c r="M20" i="6"/>
  <c r="M26" i="6" s="1"/>
  <c r="M31" i="6" s="1"/>
  <c r="L20" i="6"/>
  <c r="L26" i="6" s="1"/>
  <c r="K20" i="6"/>
  <c r="J20" i="6"/>
  <c r="J169" i="6" s="1"/>
  <c r="H20" i="6"/>
  <c r="G32" i="7" s="1"/>
  <c r="G20" i="6"/>
  <c r="F20" i="6"/>
  <c r="E20" i="6"/>
  <c r="E169" i="6" s="1"/>
  <c r="D20" i="6"/>
  <c r="D26" i="6" s="1"/>
  <c r="D170" i="6" s="1"/>
  <c r="D14" i="6"/>
  <c r="D13" i="6"/>
  <c r="B2" i="6"/>
  <c r="P85" i="3"/>
  <c r="P197" i="8" s="1"/>
  <c r="O85" i="3"/>
  <c r="O197" i="8" s="1"/>
  <c r="N85" i="3"/>
  <c r="N197" i="8" s="1"/>
  <c r="M85" i="3"/>
  <c r="M197" i="8" s="1"/>
  <c r="L85" i="3"/>
  <c r="L197" i="8" s="1"/>
  <c r="K85" i="3"/>
  <c r="K197" i="8" s="1"/>
  <c r="P46" i="3"/>
  <c r="P82" i="8" s="1"/>
  <c r="O46" i="3"/>
  <c r="O82" i="8" s="1"/>
  <c r="N46" i="3"/>
  <c r="N82" i="8" s="1"/>
  <c r="M46" i="3"/>
  <c r="M82" i="8" s="1"/>
  <c r="L46" i="3"/>
  <c r="L82" i="8" s="1"/>
  <c r="K46" i="3"/>
  <c r="K82" i="8" s="1"/>
  <c r="P41" i="3"/>
  <c r="P18" i="8" s="1"/>
  <c r="O41" i="3"/>
  <c r="O18" i="8" s="1"/>
  <c r="N41" i="3"/>
  <c r="N18" i="8" s="1"/>
  <c r="M41" i="3"/>
  <c r="M18" i="8" s="1"/>
  <c r="L41" i="3"/>
  <c r="L18" i="8" s="1"/>
  <c r="K41" i="3"/>
  <c r="K18" i="8" s="1"/>
  <c r="K20" i="8" s="1"/>
  <c r="P36" i="3"/>
  <c r="P10" i="8" s="1"/>
  <c r="O36" i="3"/>
  <c r="O10" i="8" s="1"/>
  <c r="N36" i="3"/>
  <c r="N10" i="8" s="1"/>
  <c r="M36" i="3"/>
  <c r="M10" i="8" s="1"/>
  <c r="L36" i="3"/>
  <c r="L10" i="8" s="1"/>
  <c r="K36" i="3"/>
  <c r="K10" i="8" s="1"/>
  <c r="P31" i="3"/>
  <c r="P19" i="8" s="1"/>
  <c r="O31" i="3"/>
  <c r="O19" i="8" s="1"/>
  <c r="N31" i="3"/>
  <c r="N19" i="8" s="1"/>
  <c r="M31" i="3"/>
  <c r="M19" i="8" s="1"/>
  <c r="L31" i="3"/>
  <c r="L19" i="8" s="1"/>
  <c r="K31" i="3"/>
  <c r="K19" i="8" s="1"/>
  <c r="K21" i="8" s="1"/>
  <c r="P26" i="3"/>
  <c r="P11" i="8" s="1"/>
  <c r="O26" i="3"/>
  <c r="O11" i="8" s="1"/>
  <c r="N26" i="3"/>
  <c r="N11" i="8" s="1"/>
  <c r="M26" i="3"/>
  <c r="M11" i="8" s="1"/>
  <c r="L26" i="3"/>
  <c r="L11" i="8" s="1"/>
  <c r="K26" i="3"/>
  <c r="K11" i="8" s="1"/>
  <c r="K13" i="8" s="1"/>
  <c r="C2" i="3"/>
  <c r="N55" i="2"/>
  <c r="M55" i="2"/>
  <c r="L55" i="2"/>
  <c r="K55" i="2"/>
  <c r="J55" i="2"/>
  <c r="I55" i="2"/>
  <c r="H55" i="2"/>
  <c r="G55" i="2"/>
  <c r="F55" i="2"/>
  <c r="E55" i="2"/>
  <c r="D55" i="2"/>
  <c r="N38" i="2"/>
  <c r="M38" i="2"/>
  <c r="L38" i="2"/>
  <c r="K38" i="2"/>
  <c r="J38" i="2"/>
  <c r="I38" i="2"/>
  <c r="H38" i="2"/>
  <c r="G38" i="2"/>
  <c r="F38" i="2"/>
  <c r="E38" i="2"/>
  <c r="D38" i="2"/>
  <c r="N21" i="2"/>
  <c r="M21" i="2"/>
  <c r="L21" i="2"/>
  <c r="K21" i="2"/>
  <c r="J21" i="2"/>
  <c r="I21" i="2"/>
  <c r="H21" i="2"/>
  <c r="G21" i="2"/>
  <c r="F21" i="2"/>
  <c r="E21" i="2"/>
  <c r="D21" i="2"/>
  <c r="B2" i="2"/>
  <c r="M61" i="4" l="1"/>
  <c r="M60" i="4"/>
  <c r="N60" i="4"/>
  <c r="H27" i="7"/>
  <c r="J60" i="4"/>
  <c r="C17" i="2"/>
  <c r="H70" i="4"/>
  <c r="G63" i="8"/>
  <c r="I235" i="8"/>
  <c r="S32" i="2"/>
  <c r="R32" i="2"/>
  <c r="H72" i="4"/>
  <c r="T32" i="2"/>
  <c r="G309" i="8"/>
  <c r="G310" i="8" s="1"/>
  <c r="G12" i="11"/>
  <c r="F8" i="2"/>
  <c r="D8" i="2"/>
  <c r="F138" i="8"/>
  <c r="F12" i="12"/>
  <c r="H12" i="12" s="1"/>
  <c r="H19" i="7"/>
  <c r="H60" i="4"/>
  <c r="H17" i="2"/>
  <c r="U22" i="2"/>
  <c r="U32" i="2" s="1"/>
  <c r="N190" i="8"/>
  <c r="D67" i="6"/>
  <c r="K12" i="11"/>
  <c r="E45" i="7"/>
  <c r="F27" i="7"/>
  <c r="I22" i="11"/>
  <c r="H61" i="4"/>
  <c r="H12" i="11"/>
  <c r="H14" i="11"/>
  <c r="J22" i="11"/>
  <c r="K22" i="11"/>
  <c r="J37" i="4"/>
  <c r="K37" i="4" s="1"/>
  <c r="M67" i="6"/>
  <c r="D80" i="6"/>
  <c r="D90" i="6" s="1"/>
  <c r="G184" i="8"/>
  <c r="K15" i="11"/>
  <c r="K167" i="8"/>
  <c r="G66" i="4"/>
  <c r="N61" i="4" s="1"/>
  <c r="I43" i="4"/>
  <c r="L13" i="8"/>
  <c r="M13" i="8" s="1"/>
  <c r="N13" i="8" s="1"/>
  <c r="O13" i="8" s="1"/>
  <c r="P13" i="8" s="1"/>
  <c r="F268" i="8"/>
  <c r="F51" i="5" s="1"/>
  <c r="I12" i="11"/>
  <c r="J12" i="11"/>
  <c r="G14" i="11"/>
  <c r="G77" i="4"/>
  <c r="L33" i="7"/>
  <c r="G85" i="8"/>
  <c r="H11" i="5"/>
  <c r="T23" i="2" s="1"/>
  <c r="G78" i="4"/>
  <c r="J31" i="4"/>
  <c r="K31" i="4" s="1"/>
  <c r="L236" i="8"/>
  <c r="M236" i="8" s="1"/>
  <c r="J38" i="4"/>
  <c r="K38" i="4" s="1"/>
  <c r="F79" i="4"/>
  <c r="N50" i="4"/>
  <c r="G79" i="4"/>
  <c r="F87" i="8"/>
  <c r="F95" i="8" s="1"/>
  <c r="F108" i="8" s="1"/>
  <c r="G76" i="4"/>
  <c r="I12" i="4"/>
  <c r="I17" i="2" s="1"/>
  <c r="H63" i="8"/>
  <c r="H309" i="8"/>
  <c r="H310" i="8" s="1"/>
  <c r="K190" i="8"/>
  <c r="G10" i="11"/>
  <c r="J14" i="11"/>
  <c r="L14" i="11" s="1"/>
  <c r="K23" i="11"/>
  <c r="I309" i="8"/>
  <c r="I310" i="8" s="1"/>
  <c r="F339" i="8"/>
  <c r="K24" i="10"/>
  <c r="H10" i="11"/>
  <c r="G22" i="11"/>
  <c r="K11" i="11"/>
  <c r="J18" i="3"/>
  <c r="J14" i="8" s="1"/>
  <c r="K198" i="8"/>
  <c r="H303" i="8"/>
  <c r="H304" i="8" s="1"/>
  <c r="H316" i="8"/>
  <c r="H317" i="8" s="1"/>
  <c r="F19" i="7"/>
  <c r="D27" i="7"/>
  <c r="H92" i="7"/>
  <c r="F216" i="8"/>
  <c r="O190" i="8"/>
  <c r="L23" i="10"/>
  <c r="M23" i="10" s="1"/>
  <c r="N23" i="10" s="1"/>
  <c r="O23" i="10" s="1"/>
  <c r="P23" i="10" s="1"/>
  <c r="P24" i="10" s="1"/>
  <c r="J10" i="11"/>
  <c r="L10" i="11" s="1"/>
  <c r="K13" i="11"/>
  <c r="G67" i="6"/>
  <c r="J19" i="3"/>
  <c r="J22" i="8" s="1"/>
  <c r="I303" i="8"/>
  <c r="I304" i="8" s="1"/>
  <c r="I354" i="8"/>
  <c r="O17" i="11"/>
  <c r="P19" i="11"/>
  <c r="H201" i="6"/>
  <c r="I10" i="11" s="1"/>
  <c r="H205" i="6"/>
  <c r="I14" i="11" s="1"/>
  <c r="J11" i="11"/>
  <c r="J13" i="11"/>
  <c r="J15" i="11"/>
  <c r="J23" i="11"/>
  <c r="O19" i="11"/>
  <c r="H67" i="6"/>
  <c r="F316" i="8"/>
  <c r="F317" i="8" s="1"/>
  <c r="D184" i="6"/>
  <c r="E14" i="7"/>
  <c r="G31" i="8" s="1"/>
  <c r="I63" i="8"/>
  <c r="P190" i="8"/>
  <c r="H202" i="6"/>
  <c r="I11" i="11" s="1"/>
  <c r="H206" i="6"/>
  <c r="I15" i="11" s="1"/>
  <c r="P12" i="11"/>
  <c r="P18" i="11" s="1"/>
  <c r="P22" i="11"/>
  <c r="O16" i="11"/>
  <c r="F34" i="11" s="1"/>
  <c r="G303" i="8"/>
  <c r="G304" i="8" s="1"/>
  <c r="G316" i="8"/>
  <c r="G317" i="8" s="1"/>
  <c r="G138" i="8"/>
  <c r="G87" i="8"/>
  <c r="G95" i="8" s="1"/>
  <c r="G108" i="8" s="1"/>
  <c r="F21" i="9"/>
  <c r="O18" i="11"/>
  <c r="G11" i="11"/>
  <c r="G13" i="11"/>
  <c r="G15" i="11"/>
  <c r="G23" i="11"/>
  <c r="J202" i="8"/>
  <c r="J228" i="8"/>
  <c r="F346" i="8"/>
  <c r="H204" i="6"/>
  <c r="I13" i="11" s="1"/>
  <c r="H208" i="6"/>
  <c r="I23" i="11" s="1"/>
  <c r="H235" i="8"/>
  <c r="H45" i="7"/>
  <c r="D59" i="7"/>
  <c r="K205" i="8"/>
  <c r="F80" i="6"/>
  <c r="F90" i="6" s="1"/>
  <c r="G14" i="8"/>
  <c r="N24" i="10"/>
  <c r="E67" i="6"/>
  <c r="G80" i="6"/>
  <c r="G90" i="6" s="1"/>
  <c r="G59" i="7"/>
  <c r="L190" i="8"/>
  <c r="H48" i="5"/>
  <c r="H59" i="7"/>
  <c r="G268" i="8"/>
  <c r="G51" i="5" s="1"/>
  <c r="M80" i="6"/>
  <c r="M90" i="6" s="1"/>
  <c r="F18" i="7"/>
  <c r="F20" i="7"/>
  <c r="H15" i="8" s="1"/>
  <c r="E55" i="7"/>
  <c r="G92" i="7"/>
  <c r="L50" i="8"/>
  <c r="M50" i="8" s="1"/>
  <c r="N50" i="8" s="1"/>
  <c r="O50" i="8" s="1"/>
  <c r="P50" i="8" s="1"/>
  <c r="H268" i="8"/>
  <c r="H51" i="5" s="1"/>
  <c r="F354" i="8"/>
  <c r="D47" i="7"/>
  <c r="I268" i="8"/>
  <c r="I51" i="5" s="1"/>
  <c r="I23" i="5"/>
  <c r="I30" i="5" s="1"/>
  <c r="F74" i="10"/>
  <c r="L21" i="8"/>
  <c r="M21" i="8" s="1"/>
  <c r="N21" i="8" s="1"/>
  <c r="O21" i="8" s="1"/>
  <c r="P21" i="8" s="1"/>
  <c r="I316" i="8"/>
  <c r="D14" i="7"/>
  <c r="F31" i="8" s="1"/>
  <c r="D32" i="7"/>
  <c r="E47" i="7"/>
  <c r="D50" i="7"/>
  <c r="F59" i="7"/>
  <c r="E78" i="7"/>
  <c r="K64" i="8"/>
  <c r="J185" i="8"/>
  <c r="F233" i="8"/>
  <c r="J242" i="8"/>
  <c r="J301" i="8" s="1"/>
  <c r="G261" i="8"/>
  <c r="H339" i="8"/>
  <c r="G48" i="5"/>
  <c r="G354" i="8"/>
  <c r="J268" i="8"/>
  <c r="E26" i="6"/>
  <c r="D37" i="7" s="1"/>
  <c r="L67" i="6"/>
  <c r="H80" i="6"/>
  <c r="H90" i="6" s="1"/>
  <c r="L80" i="6"/>
  <c r="L90" i="6" s="1"/>
  <c r="F14" i="7"/>
  <c r="H31" i="8" s="1"/>
  <c r="F21" i="7"/>
  <c r="H23" i="8" s="1"/>
  <c r="F55" i="7"/>
  <c r="H14" i="8"/>
  <c r="H30" i="8" s="1"/>
  <c r="F66" i="8"/>
  <c r="G123" i="8"/>
  <c r="G129" i="8" s="1"/>
  <c r="M190" i="8"/>
  <c r="H216" i="8"/>
  <c r="I233" i="8"/>
  <c r="G233" i="8"/>
  <c r="G243" i="8"/>
  <c r="I11" i="5"/>
  <c r="U23" i="2" s="1"/>
  <c r="G63" i="10"/>
  <c r="J26" i="6"/>
  <c r="J31" i="6" s="1"/>
  <c r="J34" i="6" s="1"/>
  <c r="J36" i="6" s="1"/>
  <c r="F309" i="8"/>
  <c r="F310" i="8" s="1"/>
  <c r="G55" i="7"/>
  <c r="F92" i="7"/>
  <c r="I14" i="8"/>
  <c r="H123" i="8"/>
  <c r="H128" i="8" s="1"/>
  <c r="L56" i="7"/>
  <c r="F56" i="8"/>
  <c r="K229" i="8"/>
  <c r="K242" i="8" s="1"/>
  <c r="K301" i="8" s="1"/>
  <c r="G65" i="10"/>
  <c r="H233" i="8"/>
  <c r="H169" i="6"/>
  <c r="J56" i="7"/>
  <c r="G70" i="7"/>
  <c r="G22" i="8"/>
  <c r="F23" i="5"/>
  <c r="G346" i="8"/>
  <c r="H346" i="8"/>
  <c r="E80" i="6"/>
  <c r="E90" i="6" s="1"/>
  <c r="G18" i="7"/>
  <c r="D92" i="7"/>
  <c r="F182" i="8"/>
  <c r="J56" i="5"/>
  <c r="H12" i="10"/>
  <c r="H18" i="7"/>
  <c r="D20" i="7"/>
  <c r="F15" i="8" s="1"/>
  <c r="E59" i="7"/>
  <c r="D78" i="7"/>
  <c r="K203" i="8"/>
  <c r="L201" i="8" s="1"/>
  <c r="L203" i="8" s="1"/>
  <c r="M201" i="8" s="1"/>
  <c r="K237" i="8"/>
  <c r="K244" i="8" s="1"/>
  <c r="F261" i="8"/>
  <c r="G339" i="8"/>
  <c r="F48" i="5"/>
  <c r="H64" i="7"/>
  <c r="M34" i="6"/>
  <c r="H85" i="7" s="1"/>
  <c r="D196" i="6"/>
  <c r="K26" i="6"/>
  <c r="K169" i="6"/>
  <c r="F22" i="8"/>
  <c r="F30" i="8" s="1"/>
  <c r="D21" i="7"/>
  <c r="F23" i="8" s="1"/>
  <c r="D19" i="7"/>
  <c r="K49" i="7"/>
  <c r="L57" i="7"/>
  <c r="L31" i="6"/>
  <c r="L34" i="6" s="1"/>
  <c r="L36" i="6" s="1"/>
  <c r="L170" i="6"/>
  <c r="J57" i="7"/>
  <c r="P118" i="8"/>
  <c r="P149" i="8" s="1"/>
  <c r="P178" i="8" s="1"/>
  <c r="P225" i="8" s="1"/>
  <c r="P256" i="8" s="1"/>
  <c r="D105" i="8"/>
  <c r="J260" i="8"/>
  <c r="J123" i="8"/>
  <c r="J134" i="8" s="1"/>
  <c r="J337" i="8" s="1"/>
  <c r="J56" i="8"/>
  <c r="F67" i="6"/>
  <c r="H357" i="8"/>
  <c r="H46" i="5" s="1"/>
  <c r="H246" i="8"/>
  <c r="I11" i="8"/>
  <c r="G27" i="7"/>
  <c r="F10" i="8"/>
  <c r="I181" i="8"/>
  <c r="I182" i="8" s="1"/>
  <c r="F169" i="6"/>
  <c r="E32" i="7"/>
  <c r="F26" i="6"/>
  <c r="I246" i="8"/>
  <c r="I357" i="8"/>
  <c r="E27" i="7"/>
  <c r="G10" i="8"/>
  <c r="K35" i="7"/>
  <c r="F45" i="7"/>
  <c r="H84" i="8"/>
  <c r="F50" i="7"/>
  <c r="F47" i="7"/>
  <c r="J49" i="7"/>
  <c r="K12" i="8"/>
  <c r="L12" i="8" s="1"/>
  <c r="M12" i="8" s="1"/>
  <c r="N12" i="8" s="1"/>
  <c r="O12" i="8" s="1"/>
  <c r="P12" i="8" s="1"/>
  <c r="L20" i="8"/>
  <c r="M20" i="8" s="1"/>
  <c r="N20" i="8" s="1"/>
  <c r="O20" i="8" s="1"/>
  <c r="P20" i="8" s="1"/>
  <c r="G169" i="6"/>
  <c r="F32" i="7"/>
  <c r="G26" i="6"/>
  <c r="G357" i="8"/>
  <c r="G246" i="8"/>
  <c r="I84" i="8"/>
  <c r="I85" i="8" s="1"/>
  <c r="G45" i="7"/>
  <c r="G50" i="7"/>
  <c r="G47" i="7"/>
  <c r="O118" i="8"/>
  <c r="O149" i="8" s="1"/>
  <c r="O178" i="8" s="1"/>
  <c r="O225" i="8" s="1"/>
  <c r="O256" i="8" s="1"/>
  <c r="D104" i="8"/>
  <c r="L35" i="7"/>
  <c r="J35" i="7"/>
  <c r="D102" i="8"/>
  <c r="M118" i="8"/>
  <c r="M149" i="8" s="1"/>
  <c r="M178" i="8" s="1"/>
  <c r="M225" i="8" s="1"/>
  <c r="M256" i="8" s="1"/>
  <c r="H38" i="7"/>
  <c r="H39" i="7" s="1"/>
  <c r="H37" i="7"/>
  <c r="M170" i="6"/>
  <c r="F303" i="8"/>
  <c r="F304" i="8" s="1"/>
  <c r="D70" i="7"/>
  <c r="D71" i="7"/>
  <c r="K33" i="7"/>
  <c r="J33" i="7"/>
  <c r="K118" i="8"/>
  <c r="K149" i="8" s="1"/>
  <c r="K178" i="8" s="1"/>
  <c r="K225" i="8" s="1"/>
  <c r="K256" i="8" s="1"/>
  <c r="D100" i="8"/>
  <c r="D31" i="6"/>
  <c r="D34" i="6" s="1"/>
  <c r="J303" i="8"/>
  <c r="H71" i="7"/>
  <c r="L49" i="7"/>
  <c r="E92" i="7"/>
  <c r="D101" i="8"/>
  <c r="L118" i="8"/>
  <c r="L149" i="8" s="1"/>
  <c r="L178" i="8" s="1"/>
  <c r="L225" i="8" s="1"/>
  <c r="L256" i="8" s="1"/>
  <c r="D103" i="8"/>
  <c r="N118" i="8"/>
  <c r="N149" i="8" s="1"/>
  <c r="N178" i="8" s="1"/>
  <c r="N225" i="8" s="1"/>
  <c r="N256" i="8" s="1"/>
  <c r="I123" i="8"/>
  <c r="I127" i="8" s="1"/>
  <c r="I56" i="8"/>
  <c r="J308" i="8"/>
  <c r="H26" i="8"/>
  <c r="H26" i="6"/>
  <c r="L169" i="6"/>
  <c r="G14" i="7"/>
  <c r="I31" i="8" s="1"/>
  <c r="D45" i="7"/>
  <c r="F85" i="8"/>
  <c r="E50" i="7"/>
  <c r="H55" i="7"/>
  <c r="E71" i="7"/>
  <c r="H10" i="8"/>
  <c r="I22" i="8"/>
  <c r="J61" i="8"/>
  <c r="G61" i="8"/>
  <c r="G66" i="8"/>
  <c r="H94" i="8"/>
  <c r="D169" i="6"/>
  <c r="M169" i="6"/>
  <c r="E19" i="7"/>
  <c r="H47" i="7"/>
  <c r="F71" i="7"/>
  <c r="H61" i="8"/>
  <c r="H66" i="8"/>
  <c r="I94" i="8"/>
  <c r="H138" i="8"/>
  <c r="K208" i="8"/>
  <c r="K210" i="8" s="1"/>
  <c r="L208" i="8" s="1"/>
  <c r="L210" i="8" s="1"/>
  <c r="M208" i="8" s="1"/>
  <c r="M210" i="8" s="1"/>
  <c r="J209" i="8"/>
  <c r="H32" i="7"/>
  <c r="K56" i="7"/>
  <c r="K57" i="7"/>
  <c r="G71" i="7"/>
  <c r="I61" i="8"/>
  <c r="I66" i="8"/>
  <c r="J84" i="8"/>
  <c r="J85" i="8" s="1"/>
  <c r="I216" i="8"/>
  <c r="L287" i="8"/>
  <c r="D18" i="7"/>
  <c r="G19" i="7"/>
  <c r="H50" i="7"/>
  <c r="E70" i="7"/>
  <c r="F246" i="8"/>
  <c r="F357" i="8"/>
  <c r="F70" i="7"/>
  <c r="K62" i="8"/>
  <c r="G182" i="8"/>
  <c r="H181" i="8"/>
  <c r="H184" i="8" s="1"/>
  <c r="I138" i="8"/>
  <c r="J314" i="8"/>
  <c r="J233" i="8"/>
  <c r="J243" i="8"/>
  <c r="J63" i="8"/>
  <c r="G216" i="8"/>
  <c r="F129" i="8"/>
  <c r="F128" i="8"/>
  <c r="F127" i="8"/>
  <c r="J214" i="8"/>
  <c r="G235" i="8"/>
  <c r="H354" i="8"/>
  <c r="F184" i="8"/>
  <c r="J235" i="8"/>
  <c r="G11" i="5"/>
  <c r="S23" i="2" s="1"/>
  <c r="I346" i="8"/>
  <c r="J215" i="8"/>
  <c r="K287" i="8"/>
  <c r="I339" i="8"/>
  <c r="G46" i="9"/>
  <c r="I317" i="8"/>
  <c r="M342" i="8"/>
  <c r="J237" i="8"/>
  <c r="F40" i="9"/>
  <c r="H261" i="8"/>
  <c r="T24" i="2" s="1"/>
  <c r="I261" i="8"/>
  <c r="U24" i="2" s="1"/>
  <c r="G23" i="5"/>
  <c r="F15" i="9"/>
  <c r="F45" i="9" s="1"/>
  <c r="F46" i="9" s="1"/>
  <c r="H23" i="5"/>
  <c r="I48" i="5"/>
  <c r="J23" i="8" l="1"/>
  <c r="J216" i="8"/>
  <c r="K315" i="8"/>
  <c r="K192" i="8"/>
  <c r="H129" i="8"/>
  <c r="G358" i="8"/>
  <c r="H127" i="8"/>
  <c r="K61" i="4"/>
  <c r="K60" i="4"/>
  <c r="G140" i="8"/>
  <c r="J15" i="8"/>
  <c r="I358" i="8"/>
  <c r="N22" i="11"/>
  <c r="O24" i="10"/>
  <c r="G26" i="8"/>
  <c r="J26" i="8"/>
  <c r="J136" i="8"/>
  <c r="J350" i="8" s="1"/>
  <c r="F358" i="8"/>
  <c r="L12" i="11"/>
  <c r="L205" i="8"/>
  <c r="K47" i="8"/>
  <c r="K49" i="8" s="1"/>
  <c r="K52" i="8" s="1"/>
  <c r="L237" i="8"/>
  <c r="L315" i="8" s="1"/>
  <c r="G262" i="8"/>
  <c r="S25" i="2" s="1"/>
  <c r="S24" i="2"/>
  <c r="M22" i="11"/>
  <c r="F347" i="8"/>
  <c r="F361" i="8" s="1"/>
  <c r="F10" i="12"/>
  <c r="H10" i="12" s="1"/>
  <c r="F271" i="8"/>
  <c r="F272" i="8" s="1"/>
  <c r="R24" i="2"/>
  <c r="I46" i="4"/>
  <c r="B8" i="2" s="1"/>
  <c r="H8" i="2"/>
  <c r="J135" i="8"/>
  <c r="J338" i="8" s="1"/>
  <c r="L15" i="11"/>
  <c r="L22" i="11"/>
  <c r="F262" i="8"/>
  <c r="R25" i="2" s="1"/>
  <c r="G128" i="8"/>
  <c r="G127" i="8"/>
  <c r="H358" i="8"/>
  <c r="K22" i="8"/>
  <c r="K23" i="8" s="1"/>
  <c r="L23" i="11"/>
  <c r="M12" i="11"/>
  <c r="I129" i="8"/>
  <c r="J30" i="8"/>
  <c r="J33" i="8" s="1"/>
  <c r="L13" i="11"/>
  <c r="L32" i="7"/>
  <c r="F26" i="12"/>
  <c r="H26" i="12" s="1"/>
  <c r="L24" i="10"/>
  <c r="L11" i="11"/>
  <c r="L19" i="11" s="1"/>
  <c r="D36" i="6"/>
  <c r="K55" i="7"/>
  <c r="M24" i="10"/>
  <c r="N12" i="11"/>
  <c r="I13" i="10"/>
  <c r="J51" i="5"/>
  <c r="L55" i="7"/>
  <c r="I184" i="8"/>
  <c r="J55" i="7"/>
  <c r="G30" i="8"/>
  <c r="G122" i="8" s="1"/>
  <c r="N15" i="11"/>
  <c r="M15" i="11"/>
  <c r="I140" i="8"/>
  <c r="G27" i="11"/>
  <c r="G26" i="11"/>
  <c r="G28" i="11"/>
  <c r="N11" i="11"/>
  <c r="M11" i="11"/>
  <c r="P17" i="11"/>
  <c r="J170" i="6"/>
  <c r="F26" i="8"/>
  <c r="N23" i="11"/>
  <c r="M23" i="11"/>
  <c r="M14" i="11"/>
  <c r="N14" i="11"/>
  <c r="P16" i="11"/>
  <c r="F35" i="11" s="1"/>
  <c r="N13" i="11"/>
  <c r="M13" i="11"/>
  <c r="M10" i="11"/>
  <c r="N10" i="11"/>
  <c r="F34" i="8"/>
  <c r="F32" i="8"/>
  <c r="H347" i="8"/>
  <c r="H361" i="8" s="1"/>
  <c r="L78" i="7"/>
  <c r="G347" i="8"/>
  <c r="G361" i="8" s="1"/>
  <c r="H34" i="8"/>
  <c r="H32" i="8"/>
  <c r="H33" i="8"/>
  <c r="G30" i="5"/>
  <c r="G13" i="10"/>
  <c r="I128" i="8"/>
  <c r="N22" i="8"/>
  <c r="P14" i="8"/>
  <c r="J78" i="7"/>
  <c r="K32" i="7"/>
  <c r="I65" i="5"/>
  <c r="F24" i="9"/>
  <c r="J32" i="7"/>
  <c r="K78" i="7"/>
  <c r="K14" i="8"/>
  <c r="F30" i="5"/>
  <c r="F13" i="10"/>
  <c r="H30" i="5"/>
  <c r="H13" i="10"/>
  <c r="G271" i="8"/>
  <c r="G272" i="8" s="1"/>
  <c r="L229" i="8"/>
  <c r="L234" i="8" s="1"/>
  <c r="K212" i="8"/>
  <c r="K215" i="8" s="1"/>
  <c r="K154" i="8" s="1"/>
  <c r="K276" i="8" s="1"/>
  <c r="O22" i="8"/>
  <c r="O23" i="8" s="1"/>
  <c r="E170" i="6"/>
  <c r="D38" i="7"/>
  <c r="E31" i="6"/>
  <c r="K234" i="8"/>
  <c r="K314" i="8" s="1"/>
  <c r="G46" i="5"/>
  <c r="P22" i="8"/>
  <c r="K266" i="8"/>
  <c r="L64" i="8"/>
  <c r="M205" i="8"/>
  <c r="M203" i="8"/>
  <c r="N201" i="8" s="1"/>
  <c r="J240" i="8"/>
  <c r="M287" i="8"/>
  <c r="M237" i="8"/>
  <c r="N236" i="8"/>
  <c r="F73" i="7"/>
  <c r="F72" i="7"/>
  <c r="G38" i="7"/>
  <c r="G37" i="7"/>
  <c r="H170" i="6"/>
  <c r="H31" i="6"/>
  <c r="H240" i="8"/>
  <c r="F170" i="6"/>
  <c r="E38" i="7"/>
  <c r="E37" i="7"/>
  <c r="F31" i="6"/>
  <c r="L14" i="8"/>
  <c r="I26" i="8"/>
  <c r="H72" i="7"/>
  <c r="H73" i="7"/>
  <c r="I262" i="8"/>
  <c r="U25" i="2" s="1"/>
  <c r="I271" i="8"/>
  <c r="G240" i="8"/>
  <c r="E73" i="7"/>
  <c r="E72" i="7"/>
  <c r="H87" i="8"/>
  <c r="H95" i="8" s="1"/>
  <c r="H108" i="8" s="1"/>
  <c r="H85" i="8"/>
  <c r="F28" i="5"/>
  <c r="F320" i="8"/>
  <c r="F322" i="8" s="1"/>
  <c r="I46" i="5"/>
  <c r="H262" i="8"/>
  <c r="T25" i="2" s="1"/>
  <c r="H271" i="8"/>
  <c r="G28" i="5"/>
  <c r="G320" i="8"/>
  <c r="G322" i="8" s="1"/>
  <c r="F25" i="9"/>
  <c r="J351" i="8"/>
  <c r="I320" i="8"/>
  <c r="I322" i="8" s="1"/>
  <c r="J321" i="8" s="1"/>
  <c r="I28" i="5"/>
  <c r="D72" i="7"/>
  <c r="D73" i="7"/>
  <c r="M14" i="8"/>
  <c r="F33" i="8"/>
  <c r="H84" i="7"/>
  <c r="M36" i="6"/>
  <c r="G73" i="7"/>
  <c r="G72" i="7"/>
  <c r="H320" i="8"/>
  <c r="H322" i="8" s="1"/>
  <c r="H28" i="5"/>
  <c r="H93" i="7"/>
  <c r="I240" i="8"/>
  <c r="N14" i="8"/>
  <c r="H122" i="8"/>
  <c r="H55" i="8"/>
  <c r="N342" i="8"/>
  <c r="F46" i="5"/>
  <c r="I64" i="5"/>
  <c r="P26" i="11" s="1"/>
  <c r="J307" i="8"/>
  <c r="V31" i="2" s="1"/>
  <c r="J87" i="8"/>
  <c r="N208" i="8"/>
  <c r="N210" i="8" s="1"/>
  <c r="M212" i="8"/>
  <c r="I30" i="8"/>
  <c r="I33" i="8" s="1"/>
  <c r="L22" i="8"/>
  <c r="F38" i="7"/>
  <c r="F37" i="7"/>
  <c r="G31" i="6"/>
  <c r="G170" i="6"/>
  <c r="O14" i="8"/>
  <c r="I347" i="8"/>
  <c r="I361" i="8" s="1"/>
  <c r="J315" i="8"/>
  <c r="J317" i="8" s="1"/>
  <c r="J244" i="8"/>
  <c r="F16" i="9"/>
  <c r="L212" i="8"/>
  <c r="K265" i="8"/>
  <c r="L62" i="8"/>
  <c r="H140" i="8"/>
  <c r="L45" i="7"/>
  <c r="J45" i="7"/>
  <c r="K45" i="7"/>
  <c r="M22" i="8"/>
  <c r="I87" i="8"/>
  <c r="I95" i="8" s="1"/>
  <c r="I108" i="8" s="1"/>
  <c r="H182" i="8"/>
  <c r="F122" i="8"/>
  <c r="F55" i="8"/>
  <c r="J245" i="8"/>
  <c r="K31" i="6"/>
  <c r="K34" i="6" s="1"/>
  <c r="K36" i="6" s="1"/>
  <c r="K170" i="6"/>
  <c r="F278" i="8" l="1"/>
  <c r="F281" i="8" s="1"/>
  <c r="R29" i="2" s="1"/>
  <c r="F15" i="5"/>
  <c r="R28" i="2" s="1"/>
  <c r="G55" i="8"/>
  <c r="G57" i="8" s="1"/>
  <c r="G69" i="8" s="1"/>
  <c r="G32" i="8"/>
  <c r="L244" i="8"/>
  <c r="L192" i="8"/>
  <c r="L242" i="8"/>
  <c r="L301" i="8" s="1"/>
  <c r="J259" i="8"/>
  <c r="J261" i="8" s="1"/>
  <c r="V24" i="2" s="1"/>
  <c r="J34" i="8"/>
  <c r="K191" i="8"/>
  <c r="G15" i="5"/>
  <c r="S28" i="2" s="1"/>
  <c r="J55" i="8"/>
  <c r="J83" i="8" s="1"/>
  <c r="J82" i="8" s="1"/>
  <c r="J122" i="8"/>
  <c r="J137" i="8" s="1"/>
  <c r="J352" i="8" s="1"/>
  <c r="J354" i="8" s="1"/>
  <c r="J32" i="8"/>
  <c r="K27" i="8"/>
  <c r="K30" i="8" s="1"/>
  <c r="K34" i="8" s="1"/>
  <c r="K15" i="8"/>
  <c r="P27" i="8"/>
  <c r="P30" i="8" s="1"/>
  <c r="P23" i="8"/>
  <c r="L47" i="8"/>
  <c r="L49" i="8" s="1"/>
  <c r="L52" i="8" s="1"/>
  <c r="L18" i="11"/>
  <c r="K37" i="7"/>
  <c r="G34" i="8"/>
  <c r="L16" i="11"/>
  <c r="L17" i="11"/>
  <c r="G126" i="8"/>
  <c r="G130" i="8"/>
  <c r="G33" i="8"/>
  <c r="N17" i="11"/>
  <c r="N18" i="11"/>
  <c r="N16" i="11"/>
  <c r="N19" i="11"/>
  <c r="M19" i="11"/>
  <c r="M17" i="11"/>
  <c r="M18" i="11"/>
  <c r="M16" i="11"/>
  <c r="K268" i="8"/>
  <c r="F61" i="10"/>
  <c r="G61" i="10"/>
  <c r="L266" i="8"/>
  <c r="M64" i="8"/>
  <c r="E34" i="6"/>
  <c r="D65" i="7"/>
  <c r="D64" i="7"/>
  <c r="D39" i="7"/>
  <c r="D93" i="7"/>
  <c r="K243" i="8"/>
  <c r="M229" i="8"/>
  <c r="M242" i="8" s="1"/>
  <c r="M301" i="8" s="1"/>
  <c r="G278" i="8"/>
  <c r="G281" i="8" s="1"/>
  <c r="F39" i="7"/>
  <c r="F93" i="7"/>
  <c r="L15" i="8"/>
  <c r="M47" i="8"/>
  <c r="L27" i="8"/>
  <c r="L37" i="7"/>
  <c r="I15" i="5"/>
  <c r="U28" i="2" s="1"/>
  <c r="I278" i="8"/>
  <c r="I281" i="8" s="1"/>
  <c r="U29" i="2" s="1"/>
  <c r="I272" i="8"/>
  <c r="H34" i="6"/>
  <c r="G65" i="7"/>
  <c r="G64" i="7"/>
  <c r="F57" i="8"/>
  <c r="F83" i="8"/>
  <c r="F82" i="8" s="1"/>
  <c r="J109" i="8"/>
  <c r="J95" i="8"/>
  <c r="J37" i="7"/>
  <c r="M23" i="8"/>
  <c r="F16" i="5"/>
  <c r="F13" i="5"/>
  <c r="L314" i="8"/>
  <c r="L243" i="8"/>
  <c r="L191" i="8"/>
  <c r="K260" i="8"/>
  <c r="K123" i="8"/>
  <c r="K56" i="8"/>
  <c r="M315" i="8"/>
  <c r="M192" i="8"/>
  <c r="M244" i="8"/>
  <c r="O208" i="8"/>
  <c r="O210" i="8" s="1"/>
  <c r="N212" i="8"/>
  <c r="F34" i="6"/>
  <c r="E64" i="7"/>
  <c r="E65" i="7"/>
  <c r="F130" i="8"/>
  <c r="F126" i="8"/>
  <c r="F286" i="8"/>
  <c r="R30" i="2" s="1"/>
  <c r="F282" i="8"/>
  <c r="F65" i="7"/>
  <c r="F64" i="7"/>
  <c r="G34" i="6"/>
  <c r="F29" i="9"/>
  <c r="F41" i="9" s="1"/>
  <c r="H45" i="9" s="1"/>
  <c r="H46" i="9" s="1"/>
  <c r="F26" i="9"/>
  <c r="F27" i="9" s="1"/>
  <c r="E39" i="7"/>
  <c r="E93" i="7"/>
  <c r="G93" i="7"/>
  <c r="G39" i="7"/>
  <c r="H83" i="8"/>
  <c r="H82" i="8" s="1"/>
  <c r="H57" i="8"/>
  <c r="N23" i="8"/>
  <c r="O15" i="8"/>
  <c r="O27" i="8"/>
  <c r="O30" i="8" s="1"/>
  <c r="O32" i="8" s="1"/>
  <c r="P47" i="8"/>
  <c r="L23" i="8"/>
  <c r="H126" i="8"/>
  <c r="H130" i="8"/>
  <c r="M15" i="8"/>
  <c r="M27" i="8"/>
  <c r="N47" i="8"/>
  <c r="H15" i="5"/>
  <c r="T28" i="2" s="1"/>
  <c r="H272" i="8"/>
  <c r="H278" i="8"/>
  <c r="H281" i="8" s="1"/>
  <c r="T29" i="2" s="1"/>
  <c r="N203" i="8"/>
  <c r="O201" i="8" s="1"/>
  <c r="N205" i="8"/>
  <c r="P15" i="8"/>
  <c r="J310" i="8"/>
  <c r="J23" i="5"/>
  <c r="L265" i="8"/>
  <c r="M62" i="8"/>
  <c r="I122" i="8"/>
  <c r="I34" i="8"/>
  <c r="I55" i="8"/>
  <c r="I32" i="8"/>
  <c r="O342" i="8"/>
  <c r="N27" i="8"/>
  <c r="N30" i="8" s="1"/>
  <c r="N15" i="8"/>
  <c r="O47" i="8"/>
  <c r="J31" i="8"/>
  <c r="N287" i="8"/>
  <c r="N237" i="8"/>
  <c r="O236" i="8"/>
  <c r="G83" i="8" l="1"/>
  <c r="G82" i="8" s="1"/>
  <c r="G58" i="8"/>
  <c r="J133" i="8"/>
  <c r="J336" i="8" s="1"/>
  <c r="G16" i="5"/>
  <c r="J65" i="5"/>
  <c r="J10" i="5"/>
  <c r="V22" i="2" s="1"/>
  <c r="V32" i="2" s="1"/>
  <c r="G13" i="5"/>
  <c r="G14" i="5" s="1"/>
  <c r="S27" i="2" s="1"/>
  <c r="F10" i="10"/>
  <c r="R26" i="2"/>
  <c r="G282" i="8"/>
  <c r="S29" i="2"/>
  <c r="J57" i="8"/>
  <c r="J69" i="8" s="1"/>
  <c r="M49" i="8"/>
  <c r="N49" i="8" s="1"/>
  <c r="L268" i="8"/>
  <c r="F11" i="12"/>
  <c r="H11" i="12" s="1"/>
  <c r="F33" i="11"/>
  <c r="D40" i="11"/>
  <c r="D39" i="11"/>
  <c r="F32" i="11"/>
  <c r="G286" i="8"/>
  <c r="S30" i="2" s="1"/>
  <c r="M234" i="8"/>
  <c r="M191" i="8" s="1"/>
  <c r="N229" i="8"/>
  <c r="N242" i="8" s="1"/>
  <c r="N301" i="8" s="1"/>
  <c r="F241" i="8"/>
  <c r="F245" i="8" s="1"/>
  <c r="E36" i="6"/>
  <c r="D84" i="7"/>
  <c r="D85" i="7"/>
  <c r="M266" i="8"/>
  <c r="N64" i="8"/>
  <c r="J30" i="5"/>
  <c r="J13" i="10"/>
  <c r="N259" i="8"/>
  <c r="N122" i="8"/>
  <c r="N55" i="8"/>
  <c r="N33" i="8"/>
  <c r="N32" i="8"/>
  <c r="J262" i="8"/>
  <c r="V25" i="2" s="1"/>
  <c r="J271" i="8"/>
  <c r="N315" i="8"/>
  <c r="N192" i="8"/>
  <c r="N244" i="8"/>
  <c r="H241" i="8"/>
  <c r="H245" i="8" s="1"/>
  <c r="G36" i="6"/>
  <c r="F84" i="7"/>
  <c r="F85" i="7"/>
  <c r="K64" i="7"/>
  <c r="J64" i="7"/>
  <c r="L64" i="7"/>
  <c r="F14" i="5"/>
  <c r="R27" i="2" s="1"/>
  <c r="F50" i="5"/>
  <c r="F49" i="5"/>
  <c r="R34" i="2" s="1"/>
  <c r="O287" i="8"/>
  <c r="O237" i="8"/>
  <c r="P236" i="8"/>
  <c r="P342" i="8"/>
  <c r="H13" i="5"/>
  <c r="H16" i="5"/>
  <c r="P259" i="8"/>
  <c r="P122" i="8"/>
  <c r="P55" i="8"/>
  <c r="P31" i="8"/>
  <c r="P32" i="8"/>
  <c r="P33" i="8"/>
  <c r="G241" i="8"/>
  <c r="G245" i="8" s="1"/>
  <c r="F36" i="6"/>
  <c r="E85" i="7"/>
  <c r="E84" i="7"/>
  <c r="I241" i="8"/>
  <c r="I245" i="8" s="1"/>
  <c r="H36" i="6"/>
  <c r="G85" i="7"/>
  <c r="G84" i="7"/>
  <c r="H282" i="8"/>
  <c r="H286" i="8"/>
  <c r="T30" i="2" s="1"/>
  <c r="J343" i="8"/>
  <c r="J346" i="8" s="1"/>
  <c r="K94" i="8"/>
  <c r="K97" i="8"/>
  <c r="J108" i="8"/>
  <c r="H69" i="8"/>
  <c r="H58" i="8"/>
  <c r="P208" i="8"/>
  <c r="P210" i="8" s="1"/>
  <c r="P212" i="8" s="1"/>
  <c r="O212" i="8"/>
  <c r="K134" i="8"/>
  <c r="K337" i="8" s="1"/>
  <c r="K135" i="8"/>
  <c r="K338" i="8" s="1"/>
  <c r="K136" i="8"/>
  <c r="K350" i="8" s="1"/>
  <c r="I282" i="8"/>
  <c r="I286" i="8"/>
  <c r="U30" i="2" s="1"/>
  <c r="I63" i="5"/>
  <c r="O26" i="11" s="1"/>
  <c r="K259" i="8"/>
  <c r="K55" i="8"/>
  <c r="K31" i="8"/>
  <c r="K122" i="8"/>
  <c r="K33" i="8"/>
  <c r="K32" i="8"/>
  <c r="K39" i="7"/>
  <c r="L39" i="7"/>
  <c r="J39" i="7"/>
  <c r="I83" i="8"/>
  <c r="I82" i="8" s="1"/>
  <c r="I57" i="8"/>
  <c r="I16" i="5"/>
  <c r="I13" i="5"/>
  <c r="U26" i="2" s="1"/>
  <c r="L260" i="8"/>
  <c r="L123" i="8"/>
  <c r="L56" i="8"/>
  <c r="N34" i="8"/>
  <c r="O203" i="8"/>
  <c r="P201" i="8" s="1"/>
  <c r="O205" i="8"/>
  <c r="G152" i="8"/>
  <c r="G156" i="8" s="1"/>
  <c r="G160" i="8" s="1"/>
  <c r="G19" i="5" s="1"/>
  <c r="G70" i="8"/>
  <c r="O34" i="8"/>
  <c r="P34" i="8"/>
  <c r="F28" i="9"/>
  <c r="F33" i="9" s="1"/>
  <c r="L30" i="8"/>
  <c r="L34" i="8" s="1"/>
  <c r="F32" i="9"/>
  <c r="I130" i="8"/>
  <c r="I126" i="8"/>
  <c r="M265" i="8"/>
  <c r="N62" i="8"/>
  <c r="M30" i="8"/>
  <c r="N31" i="8" s="1"/>
  <c r="O259" i="8"/>
  <c r="O122" i="8"/>
  <c r="O31" i="8"/>
  <c r="O55" i="8"/>
  <c r="O33" i="8"/>
  <c r="F69" i="8"/>
  <c r="F58" i="8"/>
  <c r="J138" i="8" l="1"/>
  <c r="J302" i="8" s="1"/>
  <c r="J24" i="5" s="1"/>
  <c r="J14" i="10" s="1"/>
  <c r="J58" i="8"/>
  <c r="G49" i="5"/>
  <c r="S34" i="2" s="1"/>
  <c r="G50" i="5"/>
  <c r="J27" i="11"/>
  <c r="J11" i="5"/>
  <c r="V23" i="2" s="1"/>
  <c r="M52" i="8"/>
  <c r="M260" i="8" s="1"/>
  <c r="G10" i="10"/>
  <c r="S26" i="2"/>
  <c r="H10" i="10"/>
  <c r="T26" i="2"/>
  <c r="N234" i="8"/>
  <c r="N243" i="8" s="1"/>
  <c r="O229" i="8"/>
  <c r="O242" i="8" s="1"/>
  <c r="O301" i="8" s="1"/>
  <c r="F21" i="12"/>
  <c r="H21" i="12" s="1"/>
  <c r="M243" i="8"/>
  <c r="M314" i="8"/>
  <c r="I10" i="10"/>
  <c r="K26" i="11"/>
  <c r="L26" i="11" s="1"/>
  <c r="N266" i="8"/>
  <c r="O64" i="8"/>
  <c r="F47" i="9"/>
  <c r="H47" i="9"/>
  <c r="M268" i="8"/>
  <c r="M34" i="8"/>
  <c r="P137" i="8"/>
  <c r="P352" i="8" s="1"/>
  <c r="P133" i="8"/>
  <c r="O83" i="8"/>
  <c r="O84" i="8" s="1"/>
  <c r="P203" i="8"/>
  <c r="P205" i="8"/>
  <c r="P10" i="5"/>
  <c r="AB22" i="2" s="1"/>
  <c r="N83" i="8"/>
  <c r="N84" i="8" s="1"/>
  <c r="G20" i="5"/>
  <c r="G21" i="5" s="1"/>
  <c r="G11" i="10" s="1"/>
  <c r="G29" i="5"/>
  <c r="G31" i="5" s="1"/>
  <c r="K261" i="8"/>
  <c r="W24" i="2" s="1"/>
  <c r="K10" i="5"/>
  <c r="K65" i="5"/>
  <c r="P83" i="8"/>
  <c r="P84" i="8" s="1"/>
  <c r="I14" i="5"/>
  <c r="U27" i="2" s="1"/>
  <c r="I50" i="5"/>
  <c r="I49" i="5"/>
  <c r="U34" i="2" s="1"/>
  <c r="N133" i="8"/>
  <c r="N137" i="8"/>
  <c r="N352" i="8" s="1"/>
  <c r="O137" i="8"/>
  <c r="O352" i="8" s="1"/>
  <c r="O133" i="8"/>
  <c r="I58" i="8"/>
  <c r="I69" i="8"/>
  <c r="K133" i="8"/>
  <c r="K137" i="8"/>
  <c r="K352" i="8" s="1"/>
  <c r="H152" i="8"/>
  <c r="H156" i="8" s="1"/>
  <c r="H160" i="8" s="1"/>
  <c r="H19" i="5" s="1"/>
  <c r="H70" i="8"/>
  <c r="H14" i="5"/>
  <c r="T27" i="2" s="1"/>
  <c r="H50" i="5"/>
  <c r="H49" i="5"/>
  <c r="T34" i="2" s="1"/>
  <c r="P287" i="8"/>
  <c r="P237" i="8"/>
  <c r="N10" i="5"/>
  <c r="Z22" i="2" s="1"/>
  <c r="L97" i="8"/>
  <c r="F34" i="9"/>
  <c r="F36" i="10" s="1"/>
  <c r="L259" i="8"/>
  <c r="L122" i="8"/>
  <c r="L55" i="8"/>
  <c r="L31" i="8"/>
  <c r="L32" i="8"/>
  <c r="L33" i="8"/>
  <c r="O315" i="8"/>
  <c r="O192" i="8"/>
  <c r="O244" i="8"/>
  <c r="J15" i="5"/>
  <c r="V28" i="2" s="1"/>
  <c r="J278" i="8"/>
  <c r="J272" i="8"/>
  <c r="L135" i="8"/>
  <c r="L338" i="8" s="1"/>
  <c r="L136" i="8"/>
  <c r="L350" i="8" s="1"/>
  <c r="L134" i="8"/>
  <c r="L337" i="8" s="1"/>
  <c r="G47" i="9"/>
  <c r="O10" i="5"/>
  <c r="AA22" i="2" s="1"/>
  <c r="J70" i="8"/>
  <c r="J152" i="8"/>
  <c r="J156" i="8" s="1"/>
  <c r="J161" i="8" s="1"/>
  <c r="M259" i="8"/>
  <c r="M122" i="8"/>
  <c r="M55" i="8"/>
  <c r="M31" i="8"/>
  <c r="M32" i="8"/>
  <c r="M33" i="8"/>
  <c r="F152" i="8"/>
  <c r="F156" i="8" s="1"/>
  <c r="F160" i="8" s="1"/>
  <c r="F19" i="5" s="1"/>
  <c r="F70" i="8"/>
  <c r="N265" i="8"/>
  <c r="O62" i="8"/>
  <c r="K57" i="8"/>
  <c r="K83" i="8"/>
  <c r="K84" i="8" s="1"/>
  <c r="O49" i="8"/>
  <c r="N52" i="8"/>
  <c r="J140" i="8" l="1"/>
  <c r="P229" i="8"/>
  <c r="P234" i="8" s="1"/>
  <c r="M56" i="8"/>
  <c r="M57" i="8" s="1"/>
  <c r="M123" i="8"/>
  <c r="M134" i="8" s="1"/>
  <c r="M337" i="8" s="1"/>
  <c r="O234" i="8"/>
  <c r="O314" i="8" s="1"/>
  <c r="N191" i="8"/>
  <c r="N314" i="8"/>
  <c r="J25" i="4"/>
  <c r="K25" i="4" s="1"/>
  <c r="W22" i="2"/>
  <c r="J26" i="4"/>
  <c r="K26" i="4" s="1"/>
  <c r="J27" i="4"/>
  <c r="K27" i="4" s="1"/>
  <c r="J36" i="4"/>
  <c r="K36" i="4" s="1"/>
  <c r="E53" i="4"/>
  <c r="N268" i="8"/>
  <c r="K11" i="5"/>
  <c r="W23" i="2" s="1"/>
  <c r="J28" i="11"/>
  <c r="G15" i="10"/>
  <c r="G18" i="10" s="1"/>
  <c r="G19" i="10" s="1"/>
  <c r="O11" i="5"/>
  <c r="AA23" i="2" s="1"/>
  <c r="L25" i="10"/>
  <c r="F53" i="10"/>
  <c r="M25" i="10"/>
  <c r="K25" i="10"/>
  <c r="N25" i="10"/>
  <c r="G53" i="10"/>
  <c r="P25" i="10"/>
  <c r="O25" i="10"/>
  <c r="P64" i="8"/>
  <c r="P266" i="8" s="1"/>
  <c r="O266" i="8"/>
  <c r="H20" i="5"/>
  <c r="H21" i="5" s="1"/>
  <c r="H11" i="10" s="1"/>
  <c r="H29" i="5"/>
  <c r="H31" i="5" s="1"/>
  <c r="L10" i="5"/>
  <c r="L261" i="8"/>
  <c r="X24" i="2" s="1"/>
  <c r="N336" i="8"/>
  <c r="K271" i="8"/>
  <c r="K262" i="8"/>
  <c r="W25" i="2" s="1"/>
  <c r="P315" i="8"/>
  <c r="P192" i="8"/>
  <c r="P244" i="8"/>
  <c r="K336" i="8"/>
  <c r="K138" i="8"/>
  <c r="P11" i="5"/>
  <c r="AB23" i="2" s="1"/>
  <c r="K58" i="8"/>
  <c r="K69" i="8"/>
  <c r="O265" i="8"/>
  <c r="O268" i="8" s="1"/>
  <c r="P62" i="8"/>
  <c r="P265" i="8" s="1"/>
  <c r="O243" i="8"/>
  <c r="N307" i="8"/>
  <c r="Z31" i="2" s="1"/>
  <c r="Z32" i="2" s="1"/>
  <c r="N86" i="8"/>
  <c r="N308" i="8" s="1"/>
  <c r="P336" i="8"/>
  <c r="M83" i="8"/>
  <c r="M84" i="8" s="1"/>
  <c r="O307" i="8"/>
  <c r="AA31" i="2" s="1"/>
  <c r="AA32" i="2" s="1"/>
  <c r="O86" i="8"/>
  <c r="O308" i="8" s="1"/>
  <c r="M10" i="5"/>
  <c r="Y22" i="2" s="1"/>
  <c r="M261" i="8"/>
  <c r="Y24" i="2" s="1"/>
  <c r="J279" i="8"/>
  <c r="J281" i="8" s="1"/>
  <c r="V29" i="2" s="1"/>
  <c r="J164" i="8"/>
  <c r="J160" i="8"/>
  <c r="J19" i="5" s="1"/>
  <c r="F20" i="5"/>
  <c r="F21" i="5" s="1"/>
  <c r="F11" i="10" s="1"/>
  <c r="F29" i="5"/>
  <c r="F31" i="5" s="1"/>
  <c r="M97" i="8"/>
  <c r="O336" i="8"/>
  <c r="P307" i="8"/>
  <c r="AB31" i="2" s="1"/>
  <c r="AB32" i="2" s="1"/>
  <c r="P86" i="8"/>
  <c r="P308" i="8" s="1"/>
  <c r="J13" i="5"/>
  <c r="V26" i="2" s="1"/>
  <c r="J16" i="5"/>
  <c r="L137" i="8"/>
  <c r="L352" i="8" s="1"/>
  <c r="L133" i="8"/>
  <c r="K307" i="8"/>
  <c r="W31" i="2" s="1"/>
  <c r="K86" i="8"/>
  <c r="K308" i="8" s="1"/>
  <c r="M137" i="8"/>
  <c r="M352" i="8" s="1"/>
  <c r="M133" i="8"/>
  <c r="P242" i="8"/>
  <c r="P301" i="8" s="1"/>
  <c r="I152" i="8"/>
  <c r="I156" i="8" s="1"/>
  <c r="I160" i="8" s="1"/>
  <c r="I19" i="5" s="1"/>
  <c r="I70" i="8"/>
  <c r="G45" i="5"/>
  <c r="G47" i="5" s="1"/>
  <c r="G20" i="10" s="1"/>
  <c r="G25" i="5"/>
  <c r="N260" i="8"/>
  <c r="N261" i="8" s="1"/>
  <c r="Z24" i="2" s="1"/>
  <c r="N123" i="8"/>
  <c r="N56" i="8"/>
  <c r="N57" i="8" s="1"/>
  <c r="P49" i="8"/>
  <c r="P52" i="8" s="1"/>
  <c r="O52" i="8"/>
  <c r="L83" i="8"/>
  <c r="L84" i="8" s="1"/>
  <c r="L57" i="8"/>
  <c r="M136" i="8" l="1"/>
  <c r="M350" i="8" s="1"/>
  <c r="O191" i="8"/>
  <c r="M135" i="8"/>
  <c r="M338" i="8" s="1"/>
  <c r="P268" i="8"/>
  <c r="K53" i="4"/>
  <c r="I75" i="2"/>
  <c r="G26" i="5"/>
  <c r="S33" i="2"/>
  <c r="W32" i="2"/>
  <c r="L11" i="5"/>
  <c r="X23" i="2" s="1"/>
  <c r="X22" i="2"/>
  <c r="G34" i="11"/>
  <c r="I34" i="11" s="1"/>
  <c r="J34" i="11" s="1"/>
  <c r="K34" i="11" s="1"/>
  <c r="F65" i="4"/>
  <c r="G65" i="4"/>
  <c r="J10" i="10"/>
  <c r="G32" i="11"/>
  <c r="H32" i="11" s="1"/>
  <c r="G33" i="11"/>
  <c r="H33" i="11" s="1"/>
  <c r="K27" i="11"/>
  <c r="L27" i="11" s="1"/>
  <c r="F15" i="10"/>
  <c r="H15" i="10"/>
  <c r="H18" i="10" s="1"/>
  <c r="H19" i="10" s="1"/>
  <c r="P87" i="8"/>
  <c r="P95" i="8" s="1"/>
  <c r="K87" i="8"/>
  <c r="K95" i="8" s="1"/>
  <c r="M11" i="5"/>
  <c r="Y23" i="2" s="1"/>
  <c r="G32" i="5"/>
  <c r="O87" i="8"/>
  <c r="O95" i="8" s="1"/>
  <c r="J286" i="8"/>
  <c r="V30" i="2" s="1"/>
  <c r="J282" i="8"/>
  <c r="J63" i="5"/>
  <c r="O27" i="11" s="1"/>
  <c r="J241" i="8"/>
  <c r="J246" i="8" s="1"/>
  <c r="J299" i="8"/>
  <c r="J304" i="8" s="1"/>
  <c r="M307" i="8"/>
  <c r="Y31" i="2" s="1"/>
  <c r="Y32" i="2" s="1"/>
  <c r="M86" i="8"/>
  <c r="M308" i="8" s="1"/>
  <c r="L336" i="8"/>
  <c r="L138" i="8"/>
  <c r="L140" i="8" s="1"/>
  <c r="L302" i="8" s="1"/>
  <c r="L24" i="5" s="1"/>
  <c r="L14" i="10" s="1"/>
  <c r="N11" i="5"/>
  <c r="Z23" i="2" s="1"/>
  <c r="J20" i="5"/>
  <c r="J21" i="5" s="1"/>
  <c r="J11" i="10" s="1"/>
  <c r="J29" i="5"/>
  <c r="N69" i="8"/>
  <c r="N58" i="8"/>
  <c r="P23" i="5"/>
  <c r="P310" i="8"/>
  <c r="P189" i="8" s="1"/>
  <c r="N134" i="8"/>
  <c r="N136" i="8"/>
  <c r="N350" i="8" s="1"/>
  <c r="N135" i="8"/>
  <c r="N338" i="8" s="1"/>
  <c r="M262" i="8"/>
  <c r="Y25" i="2" s="1"/>
  <c r="M271" i="8"/>
  <c r="L271" i="8"/>
  <c r="L262" i="8"/>
  <c r="X25" i="2" s="1"/>
  <c r="I20" i="5"/>
  <c r="I21" i="5" s="1"/>
  <c r="I11" i="10" s="1"/>
  <c r="I29" i="5"/>
  <c r="I31" i="5" s="1"/>
  <c r="K310" i="8"/>
  <c r="K189" i="8" s="1"/>
  <c r="K23" i="5"/>
  <c r="M69" i="8"/>
  <c r="M58" i="8"/>
  <c r="L307" i="8"/>
  <c r="X31" i="2" s="1"/>
  <c r="L86" i="8"/>
  <c r="L308" i="8" s="1"/>
  <c r="M336" i="8"/>
  <c r="K152" i="8"/>
  <c r="K70" i="8"/>
  <c r="N262" i="8"/>
  <c r="Z25" i="2" s="1"/>
  <c r="N271" i="8"/>
  <c r="L58" i="8"/>
  <c r="L69" i="8"/>
  <c r="J50" i="5"/>
  <c r="J14" i="5"/>
  <c r="V27" i="2" s="1"/>
  <c r="N310" i="8"/>
  <c r="N189" i="8" s="1"/>
  <c r="N23" i="5"/>
  <c r="P260" i="8"/>
  <c r="P261" i="8" s="1"/>
  <c r="AB24" i="2" s="1"/>
  <c r="P123" i="8"/>
  <c r="P56" i="8"/>
  <c r="P57" i="8" s="1"/>
  <c r="K140" i="8"/>
  <c r="K302" i="8" s="1"/>
  <c r="K24" i="5" s="1"/>
  <c r="K14" i="10" s="1"/>
  <c r="P314" i="8"/>
  <c r="P191" i="8"/>
  <c r="P243" i="8"/>
  <c r="N97" i="8"/>
  <c r="O260" i="8"/>
  <c r="O261" i="8" s="1"/>
  <c r="AA24" i="2" s="1"/>
  <c r="O123" i="8"/>
  <c r="O56" i="8"/>
  <c r="O57" i="8" s="1"/>
  <c r="F25" i="5"/>
  <c r="F45" i="5"/>
  <c r="F47" i="5" s="1"/>
  <c r="F20" i="10" s="1"/>
  <c r="O23" i="5"/>
  <c r="O310" i="8"/>
  <c r="O189" i="8" s="1"/>
  <c r="N87" i="8"/>
  <c r="K272" i="8"/>
  <c r="K15" i="5"/>
  <c r="W28" i="2" s="1"/>
  <c r="H45" i="5"/>
  <c r="H47" i="5" s="1"/>
  <c r="H20" i="10" s="1"/>
  <c r="H25" i="5"/>
  <c r="E100" i="8" l="1"/>
  <c r="K100" i="8" s="1"/>
  <c r="K106" i="8" s="1"/>
  <c r="K300" i="8" s="1"/>
  <c r="K22" i="5" s="1"/>
  <c r="M65" i="4"/>
  <c r="M138" i="8"/>
  <c r="H65" i="4"/>
  <c r="E104" i="8"/>
  <c r="O104" i="8" s="1"/>
  <c r="P104" i="8" s="1"/>
  <c r="X32" i="2"/>
  <c r="H26" i="5"/>
  <c r="T33" i="2"/>
  <c r="F26" i="5"/>
  <c r="R33" i="2"/>
  <c r="E105" i="8"/>
  <c r="P105" i="8" s="1"/>
  <c r="F18" i="10"/>
  <c r="F19" i="10" s="1"/>
  <c r="I15" i="10"/>
  <c r="I18" i="10" s="1"/>
  <c r="I19" i="10" s="1"/>
  <c r="M87" i="8"/>
  <c r="M95" i="8" s="1"/>
  <c r="P30" i="5"/>
  <c r="P13" i="10"/>
  <c r="K30" i="5"/>
  <c r="K13" i="10"/>
  <c r="J15" i="10"/>
  <c r="J18" i="10" s="1"/>
  <c r="J19" i="10" s="1"/>
  <c r="H32" i="5"/>
  <c r="O30" i="5"/>
  <c r="O13" i="10"/>
  <c r="N30" i="5"/>
  <c r="N13" i="10"/>
  <c r="O97" i="8"/>
  <c r="P262" i="8"/>
  <c r="P271" i="8"/>
  <c r="M152" i="8"/>
  <c r="M70" i="8"/>
  <c r="J320" i="8"/>
  <c r="J322" i="8" s="1"/>
  <c r="J28" i="5"/>
  <c r="J31" i="5" s="1"/>
  <c r="L272" i="8"/>
  <c r="L15" i="5"/>
  <c r="X28" i="2" s="1"/>
  <c r="L152" i="8"/>
  <c r="L70" i="8"/>
  <c r="M272" i="8"/>
  <c r="M15" i="5"/>
  <c r="Y28" i="2" s="1"/>
  <c r="O69" i="8"/>
  <c r="O58" i="8"/>
  <c r="J25" i="5"/>
  <c r="J45" i="5"/>
  <c r="J357" i="8"/>
  <c r="G35" i="11" s="1"/>
  <c r="I35" i="11" s="1"/>
  <c r="J35" i="11" s="1"/>
  <c r="K35" i="11" s="1"/>
  <c r="K240" i="8"/>
  <c r="M310" i="8"/>
  <c r="M189" i="8" s="1"/>
  <c r="M23" i="5"/>
  <c r="K16" i="5"/>
  <c r="K20" i="5"/>
  <c r="K21" i="5" s="1"/>
  <c r="K11" i="10" s="1"/>
  <c r="N152" i="8"/>
  <c r="N70" i="8"/>
  <c r="L310" i="8"/>
  <c r="L189" i="8" s="1"/>
  <c r="L23" i="5"/>
  <c r="N337" i="8"/>
  <c r="N138" i="8"/>
  <c r="M140" i="8"/>
  <c r="M302" i="8" s="1"/>
  <c r="M24" i="5" s="1"/>
  <c r="M14" i="10" s="1"/>
  <c r="N272" i="8"/>
  <c r="N15" i="5"/>
  <c r="Z28" i="2" s="1"/>
  <c r="O135" i="8"/>
  <c r="O338" i="8" s="1"/>
  <c r="O134" i="8"/>
  <c r="O136" i="8"/>
  <c r="O350" i="8" s="1"/>
  <c r="L87" i="8"/>
  <c r="O262" i="8"/>
  <c r="AA25" i="2" s="1"/>
  <c r="O271" i="8"/>
  <c r="P69" i="8"/>
  <c r="P58" i="8"/>
  <c r="F32" i="5"/>
  <c r="N95" i="8"/>
  <c r="E103" i="8"/>
  <c r="P135" i="8"/>
  <c r="P338" i="8" s="1"/>
  <c r="P136" i="8"/>
  <c r="P350" i="8" s="1"/>
  <c r="P134" i="8"/>
  <c r="I25" i="5"/>
  <c r="I45" i="5"/>
  <c r="I47" i="5" s="1"/>
  <c r="I20" i="10" s="1"/>
  <c r="I26" i="5" l="1"/>
  <c r="U33" i="2"/>
  <c r="J26" i="5"/>
  <c r="V33" i="2"/>
  <c r="J28" i="4"/>
  <c r="K28" i="4" s="1"/>
  <c r="AB25" i="2"/>
  <c r="I32" i="5"/>
  <c r="E102" i="8"/>
  <c r="M102" i="8" s="1"/>
  <c r="N102" i="8" s="1"/>
  <c r="M30" i="5"/>
  <c r="M13" i="10"/>
  <c r="L30" i="5"/>
  <c r="L13" i="10"/>
  <c r="J32" i="5"/>
  <c r="K51" i="5"/>
  <c r="K12" i="10"/>
  <c r="K15" i="10" s="1"/>
  <c r="K45" i="5"/>
  <c r="K25" i="5"/>
  <c r="W33" i="2" s="1"/>
  <c r="K13" i="5"/>
  <c r="L95" i="8"/>
  <c r="E101" i="8"/>
  <c r="O337" i="8"/>
  <c r="O138" i="8"/>
  <c r="J64" i="5"/>
  <c r="P27" i="11" s="1"/>
  <c r="J358" i="8"/>
  <c r="J334" i="8"/>
  <c r="K321" i="8"/>
  <c r="P272" i="8"/>
  <c r="P15" i="5"/>
  <c r="AB28" i="2" s="1"/>
  <c r="P152" i="8"/>
  <c r="P70" i="8"/>
  <c r="N16" i="5"/>
  <c r="N20" i="5"/>
  <c r="N21" i="5" s="1"/>
  <c r="N11" i="10" s="1"/>
  <c r="L16" i="5"/>
  <c r="L20" i="5"/>
  <c r="L21" i="5" s="1"/>
  <c r="L11" i="10" s="1"/>
  <c r="N103" i="8"/>
  <c r="M16" i="5"/>
  <c r="M20" i="5"/>
  <c r="M21" i="5" s="1"/>
  <c r="M11" i="10" s="1"/>
  <c r="K109" i="8"/>
  <c r="L100" i="8"/>
  <c r="P337" i="8"/>
  <c r="P138" i="8"/>
  <c r="O272" i="8"/>
  <c r="O15" i="5"/>
  <c r="AA28" i="2" s="1"/>
  <c r="N140" i="8"/>
  <c r="N302" i="8" s="1"/>
  <c r="N24" i="5" s="1"/>
  <c r="N14" i="10" s="1"/>
  <c r="O70" i="8"/>
  <c r="O152" i="8"/>
  <c r="P97" i="8"/>
  <c r="J29" i="4" l="1"/>
  <c r="K29" i="4" s="1"/>
  <c r="W26" i="2"/>
  <c r="K26" i="10"/>
  <c r="K10" i="10"/>
  <c r="K28" i="11"/>
  <c r="L28" i="11" s="1"/>
  <c r="K18" i="10"/>
  <c r="K19" i="10" s="1"/>
  <c r="G60" i="10"/>
  <c r="F60" i="10"/>
  <c r="M45" i="5"/>
  <c r="L45" i="5"/>
  <c r="N45" i="5"/>
  <c r="J339" i="8"/>
  <c r="J347" i="8" s="1"/>
  <c r="J361" i="8" s="1"/>
  <c r="J182" i="8"/>
  <c r="J183" i="8" s="1"/>
  <c r="J48" i="5"/>
  <c r="O102" i="8"/>
  <c r="P102" i="8" s="1"/>
  <c r="P16" i="5"/>
  <c r="P20" i="5"/>
  <c r="P21" i="5" s="1"/>
  <c r="P11" i="10" s="1"/>
  <c r="J46" i="5"/>
  <c r="J47" i="5" s="1"/>
  <c r="J20" i="10" s="1"/>
  <c r="K50" i="5"/>
  <c r="K14" i="5"/>
  <c r="W27" i="2" s="1"/>
  <c r="L101" i="8"/>
  <c r="M101" i="8" s="1"/>
  <c r="P140" i="8"/>
  <c r="P302" i="8" s="1"/>
  <c r="P24" i="5" s="1"/>
  <c r="P14" i="10" s="1"/>
  <c r="O140" i="8"/>
  <c r="O302" i="8" s="1"/>
  <c r="O24" i="5" s="1"/>
  <c r="O14" i="10" s="1"/>
  <c r="O103" i="8"/>
  <c r="P103" i="8" s="1"/>
  <c r="K26" i="5"/>
  <c r="K343" i="8"/>
  <c r="L94" i="8"/>
  <c r="O16" i="5"/>
  <c r="O20" i="5"/>
  <c r="O21" i="5" s="1"/>
  <c r="O11" i="10" s="1"/>
  <c r="M100" i="8"/>
  <c r="J16" i="4" l="1"/>
  <c r="K16" i="4" s="1"/>
  <c r="G63" i="4"/>
  <c r="G64" i="4"/>
  <c r="F64" i="4"/>
  <c r="F63" i="4"/>
  <c r="M63" i="4" s="1"/>
  <c r="F75" i="10"/>
  <c r="I33" i="11"/>
  <c r="J33" i="11" s="1"/>
  <c r="K33" i="11" s="1"/>
  <c r="I32" i="11"/>
  <c r="J32" i="11" s="1"/>
  <c r="K32" i="11" s="1"/>
  <c r="F49" i="10"/>
  <c r="O45" i="5"/>
  <c r="P45" i="5"/>
  <c r="M106" i="8"/>
  <c r="M300" i="8" s="1"/>
  <c r="M22" i="5" s="1"/>
  <c r="M12" i="10" s="1"/>
  <c r="M15" i="10" s="1"/>
  <c r="N100" i="8"/>
  <c r="O100" i="8" s="1"/>
  <c r="N101" i="8"/>
  <c r="O101" i="8" s="1"/>
  <c r="J57" i="5"/>
  <c r="J49" i="5"/>
  <c r="V34" i="2" s="1"/>
  <c r="L106" i="8"/>
  <c r="L300" i="8" s="1"/>
  <c r="L22" i="5" s="1"/>
  <c r="L12" i="10" s="1"/>
  <c r="L15" i="10" s="1"/>
  <c r="K181" i="8"/>
  <c r="J184" i="8"/>
  <c r="M64" i="4" l="1"/>
  <c r="H64" i="4"/>
  <c r="H63" i="4"/>
  <c r="J58" i="5"/>
  <c r="J68" i="5" s="1"/>
  <c r="H26" i="11"/>
  <c r="H28" i="11"/>
  <c r="H27" i="11"/>
  <c r="L109" i="8"/>
  <c r="M94" i="8" s="1"/>
  <c r="M109" i="8" s="1"/>
  <c r="L26" i="10"/>
  <c r="L18" i="10"/>
  <c r="L19" i="10" s="1"/>
  <c r="M26" i="10"/>
  <c r="M18" i="10"/>
  <c r="M19" i="10" s="1"/>
  <c r="O106" i="8"/>
  <c r="O300" i="8" s="1"/>
  <c r="O22" i="5" s="1"/>
  <c r="O12" i="10" s="1"/>
  <c r="O15" i="10" s="1"/>
  <c r="K66" i="5"/>
  <c r="N28" i="11" s="1"/>
  <c r="J66" i="5"/>
  <c r="N27" i="11" s="1"/>
  <c r="M51" i="5"/>
  <c r="M13" i="5"/>
  <c r="M25" i="5"/>
  <c r="Y33" i="2" s="1"/>
  <c r="K185" i="8"/>
  <c r="P101" i="8"/>
  <c r="P100" i="8"/>
  <c r="L51" i="5"/>
  <c r="L13" i="5"/>
  <c r="L25" i="5"/>
  <c r="X33" i="2" s="1"/>
  <c r="N106" i="8"/>
  <c r="N300" i="8" s="1"/>
  <c r="N22" i="5" s="1"/>
  <c r="N12" i="10" s="1"/>
  <c r="N15" i="10" s="1"/>
  <c r="M10" i="10" l="1"/>
  <c r="Y26" i="2"/>
  <c r="L10" i="10"/>
  <c r="X26" i="2"/>
  <c r="M26" i="5"/>
  <c r="I67" i="5"/>
  <c r="M26" i="11" s="1"/>
  <c r="J67" i="5"/>
  <c r="M27" i="11" s="1"/>
  <c r="K67" i="5"/>
  <c r="M28" i="11" s="1"/>
  <c r="K68" i="5"/>
  <c r="I68" i="5"/>
  <c r="I66" i="5"/>
  <c r="N26" i="11" s="1"/>
  <c r="P106" i="8"/>
  <c r="P300" i="8" s="1"/>
  <c r="P22" i="5" s="1"/>
  <c r="P12" i="10" s="1"/>
  <c r="P15" i="10" s="1"/>
  <c r="P18" i="10" s="1"/>
  <c r="P19" i="10" s="1"/>
  <c r="L343" i="8"/>
  <c r="I26" i="11"/>
  <c r="I28" i="11"/>
  <c r="I27" i="11"/>
  <c r="N26" i="10"/>
  <c r="N18" i="10"/>
  <c r="N19" i="10" s="1"/>
  <c r="O26" i="10"/>
  <c r="O18" i="10"/>
  <c r="O19" i="10" s="1"/>
  <c r="L14" i="5"/>
  <c r="X27" i="2" s="1"/>
  <c r="K216" i="8"/>
  <c r="K153" i="8"/>
  <c r="M343" i="8"/>
  <c r="N94" i="8"/>
  <c r="N109" i="8" s="1"/>
  <c r="M14" i="5"/>
  <c r="Y27" i="2" s="1"/>
  <c r="N51" i="5"/>
  <c r="N13" i="5"/>
  <c r="N25" i="5"/>
  <c r="Z33" i="2" s="1"/>
  <c r="L26" i="5"/>
  <c r="O51" i="5"/>
  <c r="O13" i="5"/>
  <c r="O25" i="5"/>
  <c r="P51" i="5" l="1"/>
  <c r="P26" i="10"/>
  <c r="F57" i="10" s="1"/>
  <c r="N10" i="10"/>
  <c r="Z26" i="2"/>
  <c r="O26" i="5"/>
  <c r="AA33" i="2"/>
  <c r="O10" i="10"/>
  <c r="AA26" i="2"/>
  <c r="P13" i="5"/>
  <c r="P14" i="5" s="1"/>
  <c r="N26" i="5"/>
  <c r="P25" i="5"/>
  <c r="AB33" i="2" s="1"/>
  <c r="J32" i="4"/>
  <c r="K32" i="4" s="1"/>
  <c r="F17" i="12"/>
  <c r="H17" i="12" s="1"/>
  <c r="F41" i="10"/>
  <c r="N14" i="5"/>
  <c r="Z27" i="2" s="1"/>
  <c r="K275" i="8"/>
  <c r="K156" i="8"/>
  <c r="K161" i="8" s="1"/>
  <c r="O14" i="5"/>
  <c r="AA27" i="2" s="1"/>
  <c r="N343" i="8"/>
  <c r="O94" i="8"/>
  <c r="O109" i="8" s="1"/>
  <c r="J13" i="4" l="1"/>
  <c r="K13" i="4" s="1"/>
  <c r="F76" i="10"/>
  <c r="F77" i="10" s="1"/>
  <c r="G57" i="10"/>
  <c r="P26" i="5"/>
  <c r="J30" i="4"/>
  <c r="K30" i="4" s="1"/>
  <c r="AB27" i="2"/>
  <c r="P10" i="10"/>
  <c r="AB26" i="2"/>
  <c r="K279" i="8"/>
  <c r="K163" i="8"/>
  <c r="K29" i="5"/>
  <c r="K278" i="8"/>
  <c r="O343" i="8"/>
  <c r="P94" i="8"/>
  <c r="P109" i="8" s="1"/>
  <c r="P343" i="8" s="1"/>
  <c r="F79" i="10" l="1"/>
  <c r="F78" i="10"/>
  <c r="G49" i="10"/>
  <c r="G52" i="10" s="1"/>
  <c r="L55" i="4"/>
  <c r="P52" i="4"/>
  <c r="P54" i="4"/>
  <c r="M51" i="4"/>
  <c r="M54" i="4"/>
  <c r="N55" i="4"/>
  <c r="O51" i="4"/>
  <c r="N52" i="4"/>
  <c r="L54" i="4"/>
  <c r="P53" i="4"/>
  <c r="M53" i="4"/>
  <c r="L52" i="4"/>
  <c r="L51" i="4"/>
  <c r="N54" i="4"/>
  <c r="M55" i="4"/>
  <c r="O54" i="4"/>
  <c r="N53" i="4"/>
  <c r="P55" i="4"/>
  <c r="O53" i="4"/>
  <c r="L53" i="4"/>
  <c r="P51" i="4"/>
  <c r="O55" i="4"/>
  <c r="N51" i="4"/>
  <c r="O52" i="4"/>
  <c r="M52" i="4"/>
  <c r="K281" i="8"/>
  <c r="K63" i="5" s="1"/>
  <c r="O28" i="11" s="1"/>
  <c r="K303" i="8"/>
  <c r="K168" i="8"/>
  <c r="K169" i="8" s="1"/>
  <c r="K164" i="8"/>
  <c r="K282" i="8" l="1"/>
  <c r="K241" i="8"/>
  <c r="K246" i="8" s="1"/>
  <c r="K357" i="8" s="1"/>
  <c r="K64" i="5" s="1"/>
  <c r="P28" i="11" s="1"/>
  <c r="W29" i="2"/>
  <c r="K299" i="8"/>
  <c r="K304" i="8" s="1"/>
  <c r="G70" i="10"/>
  <c r="G71" i="10"/>
  <c r="G54" i="10"/>
  <c r="G58" i="10" s="1"/>
  <c r="K286" i="8"/>
  <c r="W30" i="2" s="1"/>
  <c r="L167" i="8"/>
  <c r="K345" i="8"/>
  <c r="L240" i="8" l="1"/>
  <c r="G59" i="10"/>
  <c r="G62" i="10" s="1"/>
  <c r="G64" i="10" s="1"/>
  <c r="K28" i="5"/>
  <c r="K31" i="5" s="1"/>
  <c r="K32" i="5" s="1"/>
  <c r="K188" i="8"/>
  <c r="K193" i="8" s="1"/>
  <c r="K195" i="8" s="1"/>
  <c r="K346" i="8"/>
  <c r="G69" i="10" l="1"/>
  <c r="J11" i="4"/>
  <c r="K11" i="4" s="1"/>
  <c r="G66" i="10"/>
  <c r="K313" i="8"/>
  <c r="K317" i="8" s="1"/>
  <c r="K320" i="8" s="1"/>
  <c r="K196" i="8"/>
  <c r="L194" i="8" l="1"/>
  <c r="K214" i="8"/>
  <c r="K351" i="8" s="1"/>
  <c r="K322" i="8"/>
  <c r="K182" i="8"/>
  <c r="K183" i="8" s="1"/>
  <c r="L181" i="8" s="1"/>
  <c r="L185" i="8" l="1"/>
  <c r="K334" i="8"/>
  <c r="K339" i="8" s="1"/>
  <c r="K347" i="8" s="1"/>
  <c r="L321" i="8"/>
  <c r="K354" i="8"/>
  <c r="K358" i="8" s="1"/>
  <c r="L198" i="8"/>
  <c r="L215" i="8" s="1"/>
  <c r="L154" i="8" s="1"/>
  <c r="L276" i="8" s="1"/>
  <c r="L50" i="5" s="1"/>
  <c r="K46" i="5" l="1"/>
  <c r="K47" i="5" s="1"/>
  <c r="K20" i="10" s="1"/>
  <c r="K48" i="5"/>
  <c r="K49" i="5" s="1"/>
  <c r="W34" i="2" s="1"/>
  <c r="K361" i="8"/>
  <c r="L216" i="8"/>
  <c r="L153" i="8"/>
  <c r="L275" i="8" l="1"/>
  <c r="L156" i="8"/>
  <c r="L161" i="8" s="1"/>
  <c r="L279" i="8" l="1"/>
  <c r="L163" i="8"/>
  <c r="L29" i="5"/>
  <c r="L278" i="8"/>
  <c r="L281" i="8" l="1"/>
  <c r="X29" i="2" s="1"/>
  <c r="L303" i="8"/>
  <c r="L168" i="8"/>
  <c r="L169" i="8" s="1"/>
  <c r="L164" i="8"/>
  <c r="L241" i="8" l="1"/>
  <c r="L246" i="8" s="1"/>
  <c r="L357" i="8" s="1"/>
  <c r="L282" i="8"/>
  <c r="L286" i="8"/>
  <c r="X30" i="2" s="1"/>
  <c r="L299" i="8"/>
  <c r="L304" i="8" s="1"/>
  <c r="M167" i="8"/>
  <c r="L345" i="8"/>
  <c r="M240" i="8" l="1"/>
  <c r="L28" i="5"/>
  <c r="L31" i="5" s="1"/>
  <c r="L32" i="5" s="1"/>
  <c r="L188" i="8"/>
  <c r="L193" i="8" s="1"/>
  <c r="L195" i="8" s="1"/>
  <c r="L346" i="8"/>
  <c r="L313" i="8" l="1"/>
  <c r="L317" i="8" s="1"/>
  <c r="L320" i="8" s="1"/>
  <c r="L196" i="8"/>
  <c r="M194" i="8" l="1"/>
  <c r="L214" i="8"/>
  <c r="L351" i="8" s="1"/>
  <c r="L182" i="8"/>
  <c r="L183" i="8" s="1"/>
  <c r="M181" i="8" s="1"/>
  <c r="L322" i="8"/>
  <c r="L334" i="8" l="1"/>
  <c r="L339" i="8" s="1"/>
  <c r="L347" i="8" s="1"/>
  <c r="M321" i="8"/>
  <c r="M185" i="8"/>
  <c r="L354" i="8"/>
  <c r="L358" i="8" s="1"/>
  <c r="M198" i="8"/>
  <c r="M215" i="8" s="1"/>
  <c r="M154" i="8" s="1"/>
  <c r="M276" i="8" s="1"/>
  <c r="M50" i="5" s="1"/>
  <c r="L46" i="5" l="1"/>
  <c r="L47" i="5" s="1"/>
  <c r="L20" i="10" s="1"/>
  <c r="L48" i="5"/>
  <c r="L49" i="5" s="1"/>
  <c r="X34" i="2" s="1"/>
  <c r="M153" i="8"/>
  <c r="M216" i="8"/>
  <c r="L361" i="8"/>
  <c r="M275" i="8" l="1"/>
  <c r="M156" i="8"/>
  <c r="M161" i="8" s="1"/>
  <c r="M279" i="8" l="1"/>
  <c r="M163" i="8"/>
  <c r="M29" i="5"/>
  <c r="M278" i="8"/>
  <c r="M281" i="8" l="1"/>
  <c r="Y29" i="2" s="1"/>
  <c r="M299" i="8"/>
  <c r="M282" i="8"/>
  <c r="M286" i="8"/>
  <c r="Y30" i="2" s="1"/>
  <c r="M241" i="8"/>
  <c r="M246" i="8" s="1"/>
  <c r="M303" i="8"/>
  <c r="M168" i="8"/>
  <c r="M169" i="8" s="1"/>
  <c r="M164" i="8"/>
  <c r="N167" i="8" l="1"/>
  <c r="M345" i="8"/>
  <c r="M357" i="8"/>
  <c r="N240" i="8"/>
  <c r="M304" i="8"/>
  <c r="M28" i="5" l="1"/>
  <c r="M31" i="5" s="1"/>
  <c r="M32" i="5" s="1"/>
  <c r="M188" i="8"/>
  <c r="M193" i="8" s="1"/>
  <c r="M195" i="8" s="1"/>
  <c r="M346" i="8"/>
  <c r="M313" i="8" l="1"/>
  <c r="M317" i="8" s="1"/>
  <c r="M320" i="8" s="1"/>
  <c r="M196" i="8"/>
  <c r="N194" i="8" l="1"/>
  <c r="M214" i="8"/>
  <c r="M351" i="8" s="1"/>
  <c r="M322" i="8"/>
  <c r="M182" i="8"/>
  <c r="M183" i="8" s="1"/>
  <c r="N181" i="8" s="1"/>
  <c r="N185" i="8" l="1"/>
  <c r="N321" i="8"/>
  <c r="M334" i="8"/>
  <c r="M339" i="8" s="1"/>
  <c r="M347" i="8" s="1"/>
  <c r="M46" i="5"/>
  <c r="M47" i="5" s="1"/>
  <c r="M20" i="10" s="1"/>
  <c r="M354" i="8"/>
  <c r="M358" i="8" s="1"/>
  <c r="N198" i="8"/>
  <c r="N215" i="8" s="1"/>
  <c r="N154" i="8" s="1"/>
  <c r="N276" i="8" s="1"/>
  <c r="N50" i="5" s="1"/>
  <c r="M48" i="5" l="1"/>
  <c r="M49" i="5" s="1"/>
  <c r="Y34" i="2" s="1"/>
  <c r="M361" i="8"/>
  <c r="N153" i="8"/>
  <c r="N216" i="8"/>
  <c r="N275" i="8" l="1"/>
  <c r="N156" i="8"/>
  <c r="N161" i="8" s="1"/>
  <c r="N279" i="8" l="1"/>
  <c r="N163" i="8"/>
  <c r="N29" i="5"/>
  <c r="N278" i="8"/>
  <c r="N281" i="8" l="1"/>
  <c r="Z29" i="2" s="1"/>
  <c r="N303" i="8"/>
  <c r="N168" i="8"/>
  <c r="N169" i="8" s="1"/>
  <c r="N164" i="8"/>
  <c r="N241" i="8" l="1"/>
  <c r="N246" i="8" s="1"/>
  <c r="N357" i="8" s="1"/>
  <c r="N282" i="8"/>
  <c r="N286" i="8"/>
  <c r="Z30" i="2" s="1"/>
  <c r="N299" i="8"/>
  <c r="O167" i="8"/>
  <c r="N345" i="8"/>
  <c r="N304" i="8"/>
  <c r="O240" i="8" l="1"/>
  <c r="N28" i="5"/>
  <c r="N31" i="5" s="1"/>
  <c r="N32" i="5" s="1"/>
  <c r="N188" i="8"/>
  <c r="N193" i="8" s="1"/>
  <c r="N195" i="8" s="1"/>
  <c r="N346" i="8"/>
  <c r="N313" i="8" l="1"/>
  <c r="N317" i="8" s="1"/>
  <c r="N320" i="8" s="1"/>
  <c r="N196" i="8"/>
  <c r="N214" i="8" l="1"/>
  <c r="N351" i="8" s="1"/>
  <c r="O194" i="8"/>
  <c r="N322" i="8"/>
  <c r="N182" i="8"/>
  <c r="N183" i="8" s="1"/>
  <c r="O181" i="8" s="1"/>
  <c r="O185" i="8" l="1"/>
  <c r="O321" i="8"/>
  <c r="N334" i="8"/>
  <c r="N339" i="8" s="1"/>
  <c r="N347" i="8" s="1"/>
  <c r="O198" i="8"/>
  <c r="O215" i="8" s="1"/>
  <c r="O154" i="8" s="1"/>
  <c r="O276" i="8" s="1"/>
  <c r="O50" i="5" s="1"/>
  <c r="N354" i="8"/>
  <c r="N358" i="8" s="1"/>
  <c r="N361" i="8" l="1"/>
  <c r="N48" i="5"/>
  <c r="N49" i="5" s="1"/>
  <c r="Z34" i="2" s="1"/>
  <c r="O153" i="8"/>
  <c r="O216" i="8"/>
  <c r="N46" i="5"/>
  <c r="N47" i="5" s="1"/>
  <c r="N20" i="10" s="1"/>
  <c r="O275" i="8" l="1"/>
  <c r="O156" i="8"/>
  <c r="O161" i="8" s="1"/>
  <c r="O279" i="8" l="1"/>
  <c r="O163" i="8"/>
  <c r="O164" i="8" s="1"/>
  <c r="O29" i="5"/>
  <c r="O278" i="8"/>
  <c r="O281" i="8" l="1"/>
  <c r="AA29" i="2" s="1"/>
  <c r="O303" i="8"/>
  <c r="O168" i="8"/>
  <c r="O169" i="8" s="1"/>
  <c r="O241" i="8" l="1"/>
  <c r="O246" i="8" s="1"/>
  <c r="P240" i="8" s="1"/>
  <c r="O282" i="8"/>
  <c r="O286" i="8"/>
  <c r="AA30" i="2" s="1"/>
  <c r="O299" i="8"/>
  <c r="O304" i="8" s="1"/>
  <c r="P167" i="8"/>
  <c r="O345" i="8"/>
  <c r="O357" i="8" l="1"/>
  <c r="O346" i="8"/>
  <c r="O28" i="5"/>
  <c r="O31" i="5" s="1"/>
  <c r="O32" i="5" s="1"/>
  <c r="O188" i="8"/>
  <c r="O193" i="8" s="1"/>
  <c r="O195" i="8" s="1"/>
  <c r="O313" i="8" l="1"/>
  <c r="O317" i="8" s="1"/>
  <c r="O320" i="8" s="1"/>
  <c r="O196" i="8"/>
  <c r="O214" i="8" l="1"/>
  <c r="O351" i="8" s="1"/>
  <c r="P194" i="8"/>
  <c r="O182" i="8"/>
  <c r="O183" i="8" s="1"/>
  <c r="P181" i="8" s="1"/>
  <c r="O322" i="8"/>
  <c r="O354" i="8" l="1"/>
  <c r="O358" i="8" s="1"/>
  <c r="P321" i="8"/>
  <c r="O334" i="8"/>
  <c r="O339" i="8" s="1"/>
  <c r="O347" i="8" s="1"/>
  <c r="P185" i="8"/>
  <c r="P198" i="8"/>
  <c r="P215" i="8" s="1"/>
  <c r="P154" i="8" s="1"/>
  <c r="P276" i="8" s="1"/>
  <c r="P50" i="5" s="1"/>
  <c r="O361" i="8" l="1"/>
  <c r="P153" i="8"/>
  <c r="P216" i="8"/>
  <c r="O48" i="5"/>
  <c r="O49" i="5" s="1"/>
  <c r="AA34" i="2" s="1"/>
  <c r="O46" i="5"/>
  <c r="O47" i="5" s="1"/>
  <c r="O20" i="10" s="1"/>
  <c r="P275" i="8" l="1"/>
  <c r="P156" i="8"/>
  <c r="P161" i="8" s="1"/>
  <c r="P279" i="8" l="1"/>
  <c r="P163" i="8"/>
  <c r="P164" i="8" s="1"/>
  <c r="P29" i="5"/>
  <c r="P278" i="8"/>
  <c r="P281" i="8" l="1"/>
  <c r="AB29" i="2" s="1"/>
  <c r="P303" i="8"/>
  <c r="P168" i="8"/>
  <c r="P169" i="8" s="1"/>
  <c r="P345" i="8" s="1"/>
  <c r="P346" i="8" s="1"/>
  <c r="P282" i="8" l="1"/>
  <c r="P299" i="8"/>
  <c r="P304" i="8" s="1"/>
  <c r="P286" i="8"/>
  <c r="P241" i="8"/>
  <c r="P246" i="8" s="1"/>
  <c r="P357" i="8" s="1"/>
  <c r="J33" i="4" l="1"/>
  <c r="K33" i="4" s="1"/>
  <c r="AB30" i="2"/>
  <c r="P28" i="5"/>
  <c r="P31" i="5" s="1"/>
  <c r="P32" i="5" s="1"/>
  <c r="F16" i="12" s="1"/>
  <c r="H16" i="12" s="1"/>
  <c r="P188" i="8"/>
  <c r="P193" i="8" s="1"/>
  <c r="P195" i="8" s="1"/>
  <c r="P313" i="8" l="1"/>
  <c r="P317" i="8" s="1"/>
  <c r="P320" i="8" s="1"/>
  <c r="P196" i="8"/>
  <c r="P214" i="8" l="1"/>
  <c r="P351" i="8" s="1"/>
  <c r="P354" i="8" s="1"/>
  <c r="P358" i="8" s="1"/>
  <c r="F18" i="12"/>
  <c r="H18" i="12" s="1"/>
  <c r="P322" i="8"/>
  <c r="P334" i="8" s="1"/>
  <c r="P339" i="8" s="1"/>
  <c r="P347" i="8" s="1"/>
  <c r="P182" i="8"/>
  <c r="P183" i="8" s="1"/>
  <c r="P361" i="8" l="1"/>
  <c r="F15" i="12" s="1"/>
  <c r="H15" i="12" s="1"/>
  <c r="P48" i="5"/>
  <c r="P49" i="5" s="1"/>
  <c r="AB34" i="2" s="1"/>
  <c r="P46" i="5"/>
  <c r="P47" i="5" s="1"/>
  <c r="P20" i="10" s="1"/>
  <c r="F42" i="10" s="1"/>
  <c r="F43" i="10" l="1"/>
  <c r="F45" i="10" s="1"/>
  <c r="J52" i="4"/>
  <c r="N74" i="2" s="1"/>
  <c r="G52" i="4"/>
  <c r="K74" i="2" s="1"/>
  <c r="I54" i="4"/>
  <c r="M76" i="2" s="1"/>
  <c r="F53" i="4"/>
  <c r="J75" i="2" s="1"/>
  <c r="G51" i="4"/>
  <c r="K73" i="2" s="1"/>
  <c r="G55" i="4"/>
  <c r="K77" i="2" s="1"/>
  <c r="G54" i="4"/>
  <c r="K76" i="2" s="1"/>
  <c r="F55" i="4"/>
  <c r="J77" i="2" s="1"/>
  <c r="I52" i="4"/>
  <c r="M74" i="2" s="1"/>
  <c r="J51" i="4"/>
  <c r="N73" i="2" s="1"/>
  <c r="F54" i="4"/>
  <c r="J76" i="2" s="1"/>
  <c r="J54" i="4"/>
  <c r="N76" i="2" s="1"/>
  <c r="G53" i="4"/>
  <c r="K75" i="2" s="1"/>
  <c r="J53" i="4"/>
  <c r="N75" i="2" s="1"/>
  <c r="J55" i="4"/>
  <c r="N77" i="2" s="1"/>
  <c r="F51" i="4"/>
  <c r="J73" i="2" s="1"/>
  <c r="F52" i="4"/>
  <c r="J74" i="2" s="1"/>
  <c r="I55" i="4"/>
  <c r="M77" i="2" s="1"/>
  <c r="I51" i="4"/>
  <c r="M73" i="2" s="1"/>
  <c r="I53" i="4"/>
  <c r="M75" i="2" s="1"/>
  <c r="F71" i="10"/>
  <c r="F50" i="10"/>
  <c r="F52" i="10" s="1"/>
  <c r="F22" i="12" l="1"/>
  <c r="H22" i="12" s="1"/>
  <c r="H50" i="4"/>
  <c r="L72" i="2" s="1"/>
  <c r="J22" i="4"/>
  <c r="K22" i="4" s="1"/>
  <c r="F54" i="10"/>
  <c r="F58" i="10" s="1"/>
  <c r="J14" i="4" s="1"/>
  <c r="K14" i="4" s="1"/>
  <c r="F70" i="10"/>
  <c r="H52" i="4" l="1"/>
  <c r="L74" i="2" s="1"/>
  <c r="H55" i="4"/>
  <c r="L77" i="2" s="1"/>
  <c r="H51" i="4"/>
  <c r="L73" i="2" s="1"/>
  <c r="H54" i="4"/>
  <c r="L76" i="2" s="1"/>
  <c r="H53" i="4"/>
  <c r="L75" i="2" s="1"/>
  <c r="F59" i="10"/>
  <c r="G62" i="4" l="1"/>
  <c r="F62" i="4"/>
  <c r="J20" i="4"/>
  <c r="K20" i="4" s="1"/>
  <c r="J15" i="4"/>
  <c r="K15" i="4" s="1"/>
  <c r="F62" i="10"/>
  <c r="H36" i="11"/>
  <c r="F69" i="10"/>
  <c r="J19" i="4" s="1"/>
  <c r="K19" i="4" s="1"/>
  <c r="M62" i="4" l="1"/>
  <c r="J17" i="4"/>
  <c r="K17" i="4" s="1"/>
  <c r="J21" i="4"/>
  <c r="K21" i="4" s="1"/>
  <c r="H62" i="4"/>
  <c r="F64" i="10"/>
  <c r="J10" i="4" s="1"/>
  <c r="K10" i="4" s="1"/>
  <c r="I36" i="11"/>
  <c r="F66" i="10" l="1"/>
  <c r="J36" i="11"/>
  <c r="K36" i="11" l="1"/>
  <c r="J12" i="4"/>
  <c r="K12" i="4" l="1"/>
  <c r="F24" i="12" s="1"/>
  <c r="H24" i="12" s="1"/>
  <c r="H28" i="12" s="1"/>
  <c r="L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</author>
  </authors>
  <commentList>
    <comment ref="J8" authorId="0" shapeId="0" xr:uid="{D0C5DB6D-8DB9-466B-A285-80C108108E4A}">
      <text>
        <r>
          <rPr>
            <b/>
            <sz val="9"/>
            <color indexed="81"/>
            <rFont val="Tahoma"/>
            <family val="2"/>
          </rPr>
          <t>Implied FY2027E EV/EBITDA = (target price x diluted shares - FY2026E net cash) / Base-case FY2027E EBITDA.</t>
        </r>
      </text>
    </comment>
    <comment ref="R31" authorId="0" shapeId="0" xr:uid="{E8CB6A02-8CF3-4B9E-89AD-8EEE47E44832}">
      <text>
        <r>
          <rPr>
            <b/>
            <sz val="9"/>
            <color indexed="81"/>
            <rFont val="Tahoma"/>
            <charset val="1"/>
          </rPr>
          <t>Capex shown positive = capital expenditures from the cash flow statement (before government incentives).</t>
        </r>
      </text>
    </comment>
    <comment ref="R34" authorId="0" shapeId="0" xr:uid="{0CA15501-D969-408C-AC5E-8316B8FA9540}">
      <text>
        <r>
          <rPr>
            <b/>
            <sz val="9"/>
            <color indexed="81"/>
            <rFont val="Tahoma"/>
            <charset val="1"/>
          </rPr>
          <t>Net debt / EBITDA: negative = net cash.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 guide</author>
  </authors>
  <commentList>
    <comment ref="D1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Calculation method</t>
        </r>
        <r>
          <rPr>
            <sz val="9"/>
            <color indexed="81"/>
            <rFont val="Tahoma"/>
            <family val="2"/>
          </rPr>
          <t xml:space="preserve">
Micron reports only the % change in bits shipped and in price per bit, never the bit count or $ per bit. So revenue is derived: we start from FY2026E revenue (the one year known in dollars) and grow it by the volume and price rates.
Revenue = FY2026E revenue x (bit volume index / 100) x (revenue per bit index / 100)
Each index starts at 100 in FY2026E and moves by that year's rate: index = last year x (1 + rate).
$J locks the FY2026E base; the unlocked column picks up each year's index as you drag right.</t>
        </r>
      </text>
    </comment>
    <comment ref="D2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Calculation method</t>
        </r>
        <r>
          <rPr>
            <sz val="9"/>
            <color indexed="81"/>
            <rFont val="Tahoma"/>
            <family val="2"/>
          </rPr>
          <t xml:space="preserve">
Same as DRAM revenue (see the note on DRAM revenue).
All three column-J references must be locked: $J22, $J20, $J21.</t>
        </r>
      </text>
    </comment>
    <comment ref="B4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Cost schedule plan</t>
        </r>
        <r>
          <rPr>
            <sz val="9"/>
            <color indexed="81"/>
            <rFont val="Tahoma"/>
            <family val="2"/>
          </rPr>
          <t xml:space="preserve">
What this page forecasts:
1. COGS - derived like revenue. Volume grows with blended bit growth; cost per bit falls 8% a year (industry average, Assumptions row 55). COGS = FY2026E COGS x (volume index / 100) x (cost per bit index / 100).
2. Gross profit and gross margin - revenue minus COGS. Margin is an output, never typed.
3. Operating expenses - R&amp;D and SG&amp;A grow at their Assumptions rates from FY2026E; other operating links to Assumptions row 59.
4. Operating income = gross profit - total operating expenses.
FY2026E (column J) = 9 months reported (Raw Data column M) + Q4 guidance. Costs are positive on this page.</t>
        </r>
      </text>
    </comment>
    <comment ref="D55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Gross profit block</t>
        </r>
        <r>
          <rPr>
            <sz val="9"/>
            <color indexed="81"/>
            <rFont val="Tahoma"/>
            <family val="2"/>
          </rPr>
          <t xml:space="preserve">
Revenue = Revenue page row 30. COGS = row 52.
Gross profit = revenue - COGS; gross margin = gross profit / revenue.
Checks: FY2026E margin 80.2%, FY2027E about 82.3% (Base).</t>
        </r>
      </text>
    </comment>
    <comment ref="D62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R&amp;D and SG&amp;A</t>
        </r>
        <r>
          <rPr>
            <sz val="9"/>
            <color indexed="81"/>
            <rFont val="Tahoma"/>
            <family val="2"/>
          </rPr>
          <t xml:space="preserve">
F-I: Raw Data row 22 (R&amp;D) and row 23 (SG&amp;A). Growth = this year / last year - 1.
FY2026E = 9M reported + Q4 opex guidance ($1,860M) split by Q3 shares:
J62 ='Raw Data'!M22+Assumptions!$J$14*'Raw Data'!L22/SUM('Raw Data'!L22:L25)  -&gt; 5,145
SG&amp;A: same with row 23 -&gt; 1,524.
K62 = J62*(1+K61), K61 = Assumptions!K57 (SG&amp;A uses K58).</t>
        </r>
      </text>
    </comment>
    <comment ref="D65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Other operating</t>
        </r>
        <r>
          <rPr>
            <sz val="9"/>
            <color indexed="81"/>
            <rFont val="Tahoma"/>
            <family val="2"/>
          </rPr>
          <t xml:space="preserve">
F-I: Raw Data rows 24 + 25 (restructure + other operating).
J65 = 9M rows 24+25 + Q4 opex x Q3 share of rows 24-25  -&gt; 59.
K65 = Assumptions!K59 (zero in the forecast).</t>
        </r>
      </text>
    </comment>
    <comment ref="D6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Operating income</t>
        </r>
        <r>
          <rPr>
            <sz val="9"/>
            <color indexed="81"/>
            <rFont val="Tahoma"/>
            <family val="2"/>
          </rPr>
          <t xml:space="preserve">
= Gross profit - total operating expenses.
Actuals must equal Raw Data row 26 (FY2025: 9,770).
FY2026E about 96,729.</t>
        </r>
      </text>
    </comment>
    <comment ref="J109" authorId="0" shapeId="0" xr:uid="{00000000-0006-0000-0500-000000000063}">
      <text>
        <r>
          <rPr>
            <b/>
            <sz val="9"/>
            <color indexed="81"/>
            <rFont val="Tahoma"/>
            <family val="2"/>
          </rPr>
          <t>PP&amp;E - ending (FY2026E)</t>
        </r>
        <r>
          <rPr>
            <sz val="9"/>
            <color indexed="81"/>
            <rFont val="Tahoma"/>
            <family val="2"/>
          </rPr>
          <t xml:space="preserve">
Ending PP&amp;E = Q3 reported PP&amp;E + Q4 net capex - Q4 depreciation
Q4 net capex = full-year net capex (Micron guidance) - 9-month net capex (9-month capex - 9-month incentives)
Q4 depreciation = full-year depreciation - 9-month depreciation
Why start from Q3: it is the latest PP&amp;E Micron actually reported, so only Q4 is estimated.
Same idea as Beginning + full-year net capex - depreciation + other; the gap between the two shows up in Other (reconciling).
FY2026E: 56,426 + (27,000 - 16,613) - (9,149 - 6,862) = 64,526
Forecast years (K-P): Ending = Beginning + net capex - total depreciation + other (0)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</author>
  </authors>
  <commentList>
    <comment ref="F15" authorId="0" shapeId="0" xr:uid="{01D6CCB7-9F81-492D-B4C1-F8943721EB17}">
      <text>
        <r>
          <rPr>
            <b/>
            <sz val="9"/>
            <color indexed="81"/>
            <rFont val="Tahoma"/>
            <charset val="1"/>
          </rPr>
          <t>Unlevered free cash flow = NOPAT + D&amp;A - net capex - increase in working capital. Must equal Model row 25.</t>
        </r>
      </text>
    </comment>
    <comment ref="F18" authorId="0" shapeId="0" xr:uid="{0FE50554-1B67-4155-B4A4-79D6D55CA749}">
      <text>
        <r>
          <rPr>
            <b/>
            <sz val="9"/>
            <color indexed="81"/>
            <rFont val="Tahoma"/>
            <charset val="1"/>
          </rPr>
          <t>Reinvestment = after-tax profit minus the free cash flow left over, i.e. what was put back into the business (capex above D&amp;A plus working capital).</t>
        </r>
      </text>
    </comment>
    <comment ref="F19" authorId="0" shapeId="0" xr:uid="{E2D0B5C7-D7C7-41CA-9C10-E2DA67D0C5F8}">
      <text>
        <r>
          <rPr>
            <b/>
            <sz val="9"/>
            <color indexed="81"/>
            <rFont val="Tahoma"/>
            <charset val="1"/>
          </rPr>
          <t>Reinvestment rate = reinvestment / NOPAT: the share of profit put back into the business.</t>
        </r>
      </text>
    </comment>
    <comment ref="K24" authorId="0" shapeId="0" xr:uid="{A51BE271-C92C-4CE7-9C37-743A9613E34A}">
      <text>
        <r>
          <rPr>
            <b/>
            <sz val="9"/>
            <color indexed="81"/>
            <rFont val="Tahoma"/>
            <charset val="1"/>
          </rPr>
          <t>Discount period = years from the valuation date minus the mid-year adjustment (cash arrives through the year, on average half way).</t>
        </r>
      </text>
    </comment>
    <comment ref="K25" authorId="0" shapeId="0" xr:uid="{D18954E3-C152-4B07-A039-F3C73D021FB6}">
      <text>
        <r>
          <rPr>
            <b/>
            <sz val="9"/>
            <color indexed="81"/>
            <rFont val="Tahoma"/>
            <charset val="1"/>
          </rPr>
          <t>Discount factor = 1 / (1 + WACC) ^ discount period: what $1 received then is worth today.</t>
        </r>
      </text>
    </comment>
    <comment ref="K26" authorId="0" shapeId="0" xr:uid="{A088258E-3FC2-4355-8BAA-B6A8AC780783}">
      <text>
        <r>
          <rPr>
            <b/>
            <sz val="9"/>
            <color indexed="81"/>
            <rFont val="Tahoma"/>
            <charset val="1"/>
          </rPr>
          <t>PV of free cash flow = that year's free cash flow x its discount factor.</t>
        </r>
      </text>
    </comment>
    <comment ref="F41" authorId="0" shapeId="0" xr:uid="{F6AEB1B1-C319-4433-929B-1A40A67F21FB}">
      <text>
        <r>
          <rPr>
            <b/>
            <sz val="9"/>
            <color indexed="81"/>
            <rFont val="Tahoma"/>
            <charset val="1"/>
          </rPr>
          <t>Average reinvestment rate over the last three forecast years (FY2030E-FY2032E): how much of its profit a steady-state Micron reinvests.</t>
        </r>
      </text>
    </comment>
    <comment ref="F42" authorId="0" shapeId="0" xr:uid="{F74678A9-1484-44F1-995C-707085784B46}">
      <text>
        <r>
          <rPr>
            <b/>
            <sz val="9"/>
            <color indexed="81"/>
            <rFont val="Tahoma"/>
            <charset val="1"/>
          </rPr>
          <t>Average ROIC over FY2030E-FY2032E: what each reinvested dollar earns.</t>
        </r>
      </text>
    </comment>
    <comment ref="F43" authorId="0" shapeId="0" xr:uid="{63F157CA-2361-4437-9C1D-43AD7A80ECDE}">
      <text>
        <r>
          <rPr>
            <b/>
            <sz val="9"/>
            <color indexed="81"/>
            <rFont val="Tahoma"/>
            <charset val="1"/>
          </rPr>
          <t>Fundamental growth = reinvestment rate x return on that reinvestment. Growth has to be paid for.</t>
        </r>
      </text>
    </comment>
    <comment ref="F45" authorId="0" shapeId="0" xr:uid="{38A8DD32-64F3-42CD-A391-F80DC5A64CE5}">
      <text>
        <r>
          <rPr>
            <b/>
            <sz val="9"/>
            <color indexed="81"/>
            <rFont val="Tahoma"/>
            <charset val="1"/>
          </rPr>
          <t>Long-run growth used = the smaller of fundamental growth and the 10-year Treasury yield (no company outgrows the economy forever).</t>
        </r>
      </text>
    </comment>
    <comment ref="F50" authorId="0" shapeId="0" xr:uid="{60BD4A71-A92D-4E40-AFFF-5697A20157F0}">
      <text>
        <r>
          <rPr>
            <b/>
            <sz val="9"/>
            <color indexed="81"/>
            <rFont val="Tahoma"/>
            <charset val="1"/>
          </rPr>
          <t>Terminal free cash flow (FY2033E) = FY2032E NOPAT grown one year at g, minus the reinvestment needed to keep growing at g (g / return on capital of the profit).</t>
        </r>
      </text>
    </comment>
    <comment ref="F52" authorId="0" shapeId="0" xr:uid="{FFCAB138-E939-4406-8564-483A862E00E2}">
      <text>
        <r>
          <rPr>
            <b/>
            <sz val="9"/>
            <color indexed="81"/>
            <rFont val="Tahoma"/>
            <charset val="1"/>
          </rPr>
          <t>Perpetuity value at end-FY2032E = FY2033E free cash flow / (WACC - g).</t>
        </r>
      </text>
    </comment>
    <comment ref="G52" authorId="0" shapeId="0" xr:uid="{5479EDFE-8BE7-431F-9386-9F7E04BFBE83}">
      <text>
        <r>
          <rPr>
            <b/>
            <sz val="9"/>
            <color indexed="81"/>
            <rFont val="Tahoma"/>
            <charset val="1"/>
          </rPr>
          <t>Exit value at end-FY2032E = FY2032E EBITDA x the mid-cycle EV/EBITDA multiple.</t>
        </r>
      </text>
    </comment>
    <comment ref="F53" authorId="0" shapeId="0" xr:uid="{5A7A963F-A115-42B2-AF74-ED634A0C4CBF}">
      <text>
        <r>
          <rPr>
            <b/>
            <sz val="9"/>
            <color indexed="81"/>
            <rFont val="Tahoma"/>
            <charset val="1"/>
          </rPr>
          <t>Discount factor for the terminal value: six full years (year-end, no mid-year adjustment).</t>
        </r>
      </text>
    </comment>
    <comment ref="F60" authorId="0" shapeId="0" xr:uid="{55B91C9C-26B3-4636-942D-9C828B7F370C}">
      <text>
        <r>
          <rPr>
            <b/>
            <sz val="9"/>
            <color indexed="81"/>
            <rFont val="Tahoma"/>
            <charset val="1"/>
          </rPr>
          <t>Cash and equivalents + short-term investments + long-term marketable investments, FY2026E balance sheet.</t>
        </r>
      </text>
    </comment>
    <comment ref="F62" authorId="0" shapeId="0" xr:uid="{500A57BC-6A57-4A94-A870-EAFE48F1C5DB}">
      <text>
        <r>
          <rPr>
            <b/>
            <sz val="9"/>
            <color indexed="81"/>
            <rFont val="Tahoma"/>
            <charset val="1"/>
          </rPr>
          <t>Equity value = enterprise value + cash and investments - debt.</t>
        </r>
      </text>
    </comment>
    <comment ref="G71" authorId="0" shapeId="0" xr:uid="{6FBA85E6-BA46-4B3B-9166-4DFC0749CFD3}">
      <text>
        <r>
          <rPr>
            <b/>
            <sz val="9"/>
            <color indexed="81"/>
            <rFont val="Tahoma"/>
            <charset val="1"/>
          </rPr>
          <t>Growth rate the exit multiple is implicitly assuming: solves terminal value = FCF x (1+g) / (WACC - g) for g, using FY2032E free cash flow.</t>
        </r>
      </text>
    </comment>
    <comment ref="F75" authorId="0" shapeId="0" xr:uid="{AE4D4690-E150-4A68-B3D9-C9C7BF6B3C25}">
      <text>
        <r>
          <rPr>
            <b/>
            <sz val="9"/>
            <color indexed="81"/>
            <rFont val="Tahoma"/>
            <charset val="1"/>
          </rPr>
          <t>Market enterprise value = market value of equity - cash and investments + debt.</t>
        </r>
      </text>
    </comment>
    <comment ref="F77" authorId="0" shapeId="0" xr:uid="{95AF9A35-50F7-4BEE-9193-429FF6E13AF0}">
      <text>
        <r>
          <rPr>
            <b/>
            <sz val="9"/>
            <color indexed="81"/>
            <rFont val="Tahoma"/>
            <charset val="1"/>
          </rPr>
          <t>Terminal value the price requires = (market EV - PV of the six forecast years) grossed up from today's dollars to end-FY2032E.</t>
        </r>
      </text>
    </comment>
    <comment ref="F78" authorId="0" shapeId="0" xr:uid="{A1DB80B7-53AB-4F4F-81DC-4DFA9D3CED62}">
      <text>
        <r>
          <rPr>
            <b/>
            <sz val="9"/>
            <color indexed="81"/>
            <rFont val="Tahoma"/>
            <charset val="1"/>
          </rPr>
          <t>Growth forever the market is pricing in: solves required terminal value = FY2032E FCF x (1+g) / (WACC - g) for g.</t>
        </r>
      </text>
    </comment>
    <comment ref="F79" authorId="0" shapeId="0" xr:uid="{E5A60C18-8968-44E0-B035-F4221155566A}">
      <text>
        <r>
          <rPr>
            <b/>
            <sz val="9"/>
            <color indexed="81"/>
            <rFont val="Tahoma"/>
            <charset val="1"/>
          </rPr>
          <t>Exit multiple the market is pricing in = required terminal value / FY2032E EBITDA.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</author>
  </authors>
  <commentList>
    <comment ref="G10" authorId="0" shapeId="0" xr:uid="{6029AA8E-0160-413A-8A7B-23A0BF16E22E}">
      <text>
        <r>
          <rPr>
            <b/>
            <sz val="9"/>
            <color indexed="81"/>
            <rFont val="Tahoma"/>
            <family val="2"/>
          </rPr>
          <t>Market cap in US$ M = price x shares (Raw Data, local currency) / FX rate (local currency per US$).</t>
        </r>
      </text>
    </comment>
    <comment ref="N10" authorId="0" shapeId="0" xr:uid="{B39D0C19-A534-49EF-AB64-6758BD5672F2}">
      <text>
        <r>
          <rPr>
            <b/>
            <sz val="9"/>
            <color indexed="81"/>
            <rFont val="Tahoma"/>
            <family val="2"/>
          </rPr>
          <t>EV / EBITDA = enterprise value / last-twelve-months EBITDA.</t>
        </r>
      </text>
    </comment>
    <comment ref="O10" authorId="0" shapeId="0" xr:uid="{0993D95F-E004-4DE2-8E2C-F543D1A998CE}">
      <text>
        <r>
          <rPr>
            <b/>
            <sz val="9"/>
            <color indexed="81"/>
            <rFont val="Tahoma"/>
            <family val="2"/>
          </rPr>
          <t>P / E = share price / last-twelve-months EPS (both local currency). Shows n.m. (not meaningful) when EPS is negative.</t>
        </r>
      </text>
    </comment>
    <comment ref="P10" authorId="0" shapeId="0" xr:uid="{2086A127-CA9A-40B1-A34A-A199527B55A7}">
      <text>
        <r>
          <rPr>
            <b/>
            <sz val="9"/>
            <color indexed="81"/>
            <rFont val="Tahoma"/>
            <family val="2"/>
          </rPr>
          <t>P / B = market cap / book value of shareholders' equity.</t>
        </r>
      </text>
    </comment>
    <comment ref="N16" authorId="0" shapeId="0" xr:uid="{1C951C39-A7B8-4D3B-9C00-A3B9FB8D147D}">
      <text>
        <r>
          <rPr>
            <b/>
            <sz val="9"/>
            <color indexed="81"/>
            <rFont val="Tahoma"/>
            <family val="2"/>
          </rPr>
          <t>Median of the six memory and storage peers. Intel and Texas Instruments are excluded (not memory businesses).</t>
        </r>
      </text>
    </comment>
    <comment ref="N17" authorId="0" shapeId="0" xr:uid="{3BC77914-7B03-47E7-AE2E-D4F6203AB5E0}">
      <text>
        <r>
          <rPr>
            <b/>
            <sz val="9"/>
            <color indexed="81"/>
            <rFont val="Tahoma"/>
            <family val="2"/>
          </rPr>
          <t>25th percentile of the six peers: one quarter of peers trade below this.</t>
        </r>
      </text>
    </comment>
    <comment ref="I32" authorId="0" shapeId="0" xr:uid="{6CAD3204-F26A-4A12-A71B-35C200D955DB}">
      <text>
        <r>
          <rPr>
            <b/>
            <sz val="9"/>
            <color indexed="81"/>
            <rFont val="Tahoma"/>
            <family val="2"/>
          </rPr>
          <t>Implied equity value = implied enterprise value + Micron's FY2026E cash and investments - debt (same bridge as the DCF).</t>
        </r>
      </text>
    </comment>
    <comment ref="J32" authorId="0" shapeId="0" xr:uid="{59D2CF04-62AF-4271-A25C-80080F159545}">
      <text>
        <r>
          <rPr>
            <b/>
            <sz val="9"/>
            <color indexed="81"/>
            <rFont val="Tahoma"/>
            <family val="2"/>
          </rPr>
          <t>Value per share = implied equity value / FY2026E diluted shares (1,150M).</t>
        </r>
      </text>
    </comment>
    <comment ref="I34" authorId="0" shapeId="0" xr:uid="{031E9402-5C04-412F-98A0-0A425A31B67E}">
      <text>
        <r>
          <rPr>
            <b/>
            <sz val="9"/>
            <color indexed="81"/>
            <rFont val="Tahoma"/>
            <family val="2"/>
          </rPr>
          <t>Implied equity value = peer median P/E x Micron FY2026E net income (equivalently, P/E x EPS x shares).</t>
        </r>
      </text>
    </comment>
    <comment ref="I35" authorId="0" shapeId="0" xr:uid="{779DF4F2-E4D6-4670-9B21-93AE1B34874C}">
      <text>
        <r>
          <rPr>
            <b/>
            <sz val="9"/>
            <color indexed="81"/>
            <rFont val="Tahoma"/>
            <family val="2"/>
          </rPr>
          <t>Implied equity value = peer median P/B x Micron FY2026E book equity.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</author>
  </authors>
  <commentList>
    <comment ref="F10" authorId="0" shapeId="0" xr:uid="{6776D04B-B60C-4317-869D-250135685F3A}">
      <text>
        <r>
          <rPr>
            <b/>
            <sz val="9"/>
            <color indexed="81"/>
            <rFont val="Tahoma"/>
            <family val="2"/>
          </rPr>
          <t>Recorded value: the switch was set to Bear and the live column pasted as a value. Re-record if any assumption changes.</t>
        </r>
      </text>
    </comment>
    <comment ref="I10" authorId="0" shapeId="0" xr:uid="{A75661C3-7B29-438E-BE9C-65F05B0094C5}">
      <text>
        <r>
          <rPr>
            <b/>
            <sz val="9"/>
            <color indexed="81"/>
            <rFont val="Tahoma"/>
            <family val="2"/>
          </rPr>
          <t>Probability-weighted = Bear x 25% + Base x 50% + Bull x 25% (weights in row 41).</t>
        </r>
      </text>
    </comment>
    <comment ref="K10" authorId="0" shapeId="0" xr:uid="{245C299D-91C3-4DA5-9BB5-FF101FDA2CD1}">
      <text>
        <r>
          <rPr>
            <b/>
            <sz val="9"/>
            <color indexed="81"/>
            <rFont val="Tahoma"/>
            <family val="2"/>
          </rPr>
          <t>Live column less the recorded column of whichever case the switch is on. 0 = the recorded case is up to date.</t>
        </r>
      </text>
    </comment>
    <comment ref="I46" authorId="0" shapeId="0" xr:uid="{273F745F-4776-4FA1-8A8B-EF0B765BDFAE}">
      <text>
        <r>
          <rPr>
            <b/>
            <sz val="9"/>
            <color indexed="81"/>
            <rFont val="Tahoma"/>
            <family val="2"/>
          </rPr>
          <t>Rating rule: BUY if upside to target is above +15%, SELL if below -15%, otherwise HOLD.</t>
        </r>
      </text>
    </comment>
    <comment ref="F51" authorId="0" shapeId="0" xr:uid="{59E06869-0AC2-48F0-A214-151669935655}">
      <text>
        <r>
          <rPr>
            <b/>
            <sz val="9"/>
            <color indexed="81"/>
            <rFont val="Tahoma"/>
            <family val="2"/>
          </rPr>
          <t>Value per share = (PV of FY2027E-FY2032E free cash flow at this WACC + terminal value at this WACC and g, discounted 6 years + net cash) / diluted shares. Terminal value = FY2032E NOPAT x (1+g) x (1 - g / return on new capital) / (WACC - g), exactly as on the DCF tab.</t>
        </r>
      </text>
    </comment>
    <comment ref="L51" authorId="0" shapeId="0" xr:uid="{AFE24016-1CBF-49C3-B99F-1DC536FE492C}">
      <text>
        <r>
          <rPr>
            <b/>
            <sz val="9"/>
            <color indexed="81"/>
            <rFont val="Tahoma"/>
            <family val="2"/>
          </rPr>
          <t>Value per share = (PV of FY2027E-FY2032E free cash flow at this WACC + FY2032E EBITDA x this multiple, discounted 6 years + net cash) / diluted shares.</t>
        </r>
      </text>
    </comment>
    <comment ref="F63" authorId="0" shapeId="0" xr:uid="{014DE86B-E551-43AF-8B5D-CDA98CDF3A1D}">
      <text>
        <r>
          <rPr>
            <b/>
            <sz val="9"/>
            <color indexed="81"/>
            <rFont val="Tahoma"/>
            <family val="2"/>
          </rPr>
          <t>Value per share at the lower of Samsung's and SK hynix's EV/EBITDA, applied to Micron FY2026E EBITDA, plus net cash.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Siddhanth</author>
  </authors>
  <commentList>
    <comment ref="F26" authorId="0" shapeId="0" xr:uid="{6E139590-035B-4977-9324-25849B178C7E}">
      <text>
        <r>
          <rPr>
            <b/>
            <sz val="9"/>
            <color indexed="81"/>
            <rFont val="Tahoma"/>
            <family val="2"/>
          </rPr>
          <t>72 = 8 peers x 9 data cells (price, shares, market cap, net debt, EV, revenue, EBITDA, EPS, book equity).</t>
        </r>
      </text>
    </comment>
  </commentList>
</comments>
</file>

<file path=xl/sharedStrings.xml><?xml version="1.0" encoding="utf-8"?>
<sst xmlns="http://schemas.openxmlformats.org/spreadsheetml/2006/main" count="2069" uniqueCount="1038">
  <si>
    <t>MICRON TECHNOLOGY, INC. (NASDAQ: MU)</t>
  </si>
  <si>
    <t>Discounted Cash Flow Valuation</t>
  </si>
  <si>
    <t>Prepared By:</t>
  </si>
  <si>
    <t>Siddhanth Balakrishnan</t>
  </si>
  <si>
    <t>Date:</t>
  </si>
  <si>
    <t>MODEL PARAMETERS</t>
  </si>
  <si>
    <t>Valuation Date</t>
  </si>
  <si>
    <t>Currency &amp; Units</t>
  </si>
  <si>
    <t>US$ in millions except per share</t>
  </si>
  <si>
    <t>Forecast Period</t>
  </si>
  <si>
    <t>FY2027E - FY2032E (6 years)</t>
  </si>
  <si>
    <t>Valuation Method</t>
  </si>
  <si>
    <t>Terminal Value</t>
  </si>
  <si>
    <t>Discounting</t>
  </si>
  <si>
    <t>Mid-year Convention</t>
  </si>
  <si>
    <t>Fiscal year end</t>
  </si>
  <si>
    <t>Thursday nearest 31 August</t>
  </si>
  <si>
    <t>Historical period</t>
  </si>
  <si>
    <t>FY2022A – FY2025A, as reported</t>
  </si>
  <si>
    <t>Bridge year</t>
  </si>
  <si>
    <t>FY2026E - 9M reported + FQ4 estimate</t>
  </si>
  <si>
    <t>Market price reference</t>
  </si>
  <si>
    <t>Net debt basis</t>
  </si>
  <si>
    <t>FY2026E closing balance sheet (estimated; last reported is FQ3-26, 28-May-26)</t>
  </si>
  <si>
    <t>Formatting Key</t>
  </si>
  <si>
    <t>Tab Index</t>
  </si>
  <si>
    <t>Tab</t>
  </si>
  <si>
    <t>Purpose</t>
  </si>
  <si>
    <t>Cover</t>
  </si>
  <si>
    <t>Parameters, formatting key, tab index, disclaimer</t>
  </si>
  <si>
    <t>Executive Summary</t>
  </si>
  <si>
    <t>Valuation range, key financials, charts</t>
  </si>
  <si>
    <t>Assumptions</t>
  </si>
  <si>
    <t>Scenario switch and every forecast driver</t>
  </si>
  <si>
    <t>Raw Data</t>
  </si>
  <si>
    <t>As-reported financials and footnote data</t>
  </si>
  <si>
    <t>Historical Drivers</t>
  </si>
  <si>
    <t>Drivers computed off actuals</t>
  </si>
  <si>
    <t>Schedules</t>
  </si>
  <si>
    <t>Revenue, cost, PP&amp;E, working capital, debt, shares, tax</t>
  </si>
  <si>
    <t>Model</t>
  </si>
  <si>
    <t>Income statement, cash flow, balance sheet</t>
  </si>
  <si>
    <t>WACC</t>
  </si>
  <si>
    <t>Cost of capital build</t>
  </si>
  <si>
    <t>DCF</t>
  </si>
  <si>
    <t>Free cash flow, terminal value, equity bridge</t>
  </si>
  <si>
    <t>Comps</t>
  </si>
  <si>
    <t>Peer multiples and P/B floor</t>
  </si>
  <si>
    <t>Scenarios</t>
  </si>
  <si>
    <t>Cases, probability weighting, sensitivities</t>
  </si>
  <si>
    <t>Checks</t>
  </si>
  <si>
    <t>Balance and tie-out checks</t>
  </si>
  <si>
    <t>Sources</t>
  </si>
  <si>
    <t>Every external number, with citation</t>
  </si>
  <si>
    <t>Status and Disclaimer</t>
  </si>
  <si>
    <t>Personal project for educational purposes. Not investment advice.</t>
  </si>
  <si>
    <t>THE CALL</t>
  </si>
  <si>
    <t>RECOMMENDATION</t>
  </si>
  <si>
    <t>TARGET PRICE ($)</t>
  </si>
  <si>
    <t>CURRENT PRICE ($)</t>
  </si>
  <si>
    <t>UPSIDE / (DOWNSIDE)</t>
  </si>
  <si>
    <t>IMPLIED FY27E EV/EBITDA</t>
  </si>
  <si>
    <t>VALUATION SUMMARY</t>
  </si>
  <si>
    <t>Case</t>
  </si>
  <si>
    <t>Probability</t>
  </si>
  <si>
    <t>Enterprise value</t>
  </si>
  <si>
    <t>Equity value</t>
  </si>
  <si>
    <t>Diluted shares</t>
  </si>
  <si>
    <t>Implied price</t>
  </si>
  <si>
    <t>Upside %</t>
  </si>
  <si>
    <t>EV/EBITDA FY27E</t>
  </si>
  <si>
    <t>P/B</t>
  </si>
  <si>
    <t>Terminal value %</t>
  </si>
  <si>
    <t>Bear case</t>
  </si>
  <si>
    <t>Base case</t>
  </si>
  <si>
    <t>Bull case</t>
  </si>
  <si>
    <t>Probability-weighted</t>
  </si>
  <si>
    <t>Fiscal year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</si>
  <si>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</si>
  <si>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</si>
  <si>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</si>
  <si>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</si>
  <si>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</si>
  <si>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</si>
  <si>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</si>
  <si>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</si>
  <si>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</si>
  <si>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</si>
  <si>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</si>
  <si>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Revenue</t>
  </si>
  <si>
    <t xml:space="preserve">  % growth</t>
  </si>
  <si>
    <t>Gross profit</t>
  </si>
  <si>
    <t xml:space="preserve">  % margin</t>
  </si>
  <si>
    <t>EBITDA</t>
  </si>
  <si>
    <t>EBIT</t>
  </si>
  <si>
    <t>Net income</t>
  </si>
  <si>
    <t>EPS ($)</t>
  </si>
  <si>
    <t>Capex</t>
  </si>
  <si>
    <t xml:space="preserve">  % of sales</t>
  </si>
  <si>
    <t>Unlevered FCF</t>
  </si>
  <si>
    <t>Net debt / EBITDA</t>
  </si>
  <si>
    <t>BASE CASE</t>
  </si>
  <si>
    <t>($ in millions)</t>
  </si>
  <si>
    <t>BULL CASE</t>
  </si>
  <si>
    <t>BEAR CASE</t>
  </si>
  <si>
    <t>KEY ASSUMPTIONS BY CASE</t>
  </si>
  <si>
    <t>Driver</t>
  </si>
  <si>
    <t>Units</t>
  </si>
  <si>
    <t>Bear</t>
  </si>
  <si>
    <t>Base</t>
  </si>
  <si>
    <t>Bull</t>
  </si>
  <si>
    <t>%</t>
  </si>
  <si>
    <t>Exit EV/EBITDA multiple</t>
  </si>
  <si>
    <t>x</t>
  </si>
  <si>
    <t>Probability weight</t>
  </si>
  <si>
    <t>WACC \ g</t>
  </si>
  <si>
    <t>EXHIBITS</t>
  </si>
  <si>
    <t>Exhibit 1 — Valuation range vs. current price (football field)</t>
  </si>
  <si>
    <t>Exhibit 3 — Enterprise value to equity value bridge</t>
  </si>
  <si>
    <t>Exhibit 4 — Implied share price by case vs. current price</t>
  </si>
  <si>
    <t>Hardcoded input — typed by hand on this tab</t>
  </si>
  <si>
    <t>Formula or link — calculated, do not type over</t>
  </si>
  <si>
    <t>Scenario switch or assumption needing attention</t>
  </si>
  <si>
    <t>Discounted cash flow valuation  |  Executive summary</t>
  </si>
  <si>
    <t>MODEL CHECKS</t>
  </si>
  <si>
    <t>Thesis</t>
  </si>
  <si>
    <t>Projected</t>
  </si>
  <si>
    <t>Source: see Sources tab.  US$ in millions except per share.  Blue = hardcoded input, black = formula or link.  Personal project for educational purposes not investment advice.</t>
  </si>
  <si>
    <t>Raw data  |  As-reported historical financials and market inputs</t>
  </si>
  <si>
    <t>SOURCE &amp; SCOPE</t>
  </si>
  <si>
    <t>Company</t>
  </si>
  <si>
    <t>Micron Technology, Inc.</t>
  </si>
  <si>
    <t>Ticker / exchange</t>
  </si>
  <si>
    <t>MU / NASDAQ</t>
  </si>
  <si>
    <t>Thursday nearest Aug 31</t>
  </si>
  <si>
    <t>Reporting currency</t>
  </si>
  <si>
    <t>USD</t>
  </si>
  <si>
    <t>Millions, except per-share data</t>
  </si>
  <si>
    <t>Filings used</t>
  </si>
  <si>
    <t>Data pulled on</t>
  </si>
  <si>
    <t>Prepared by</t>
  </si>
  <si>
    <t>Line item</t>
  </si>
  <si>
    <t>FY2021</t>
  </si>
  <si>
    <t>FY2022</t>
  </si>
  <si>
    <t>FY2023</t>
  </si>
  <si>
    <t>FY2024</t>
  </si>
  <si>
    <t>FY2025</t>
  </si>
  <si>
    <t>Source / filing reference</t>
  </si>
  <si>
    <t>$M</t>
  </si>
  <si>
    <t>Cost of goods sold</t>
  </si>
  <si>
    <t>Research and development</t>
  </si>
  <si>
    <t>Operating income</t>
  </si>
  <si>
    <t>Interest income</t>
  </si>
  <si>
    <t>Interest expense</t>
  </si>
  <si>
    <t>Net income attributable to Micron</t>
  </si>
  <si>
    <t>$</t>
  </si>
  <si>
    <t>M sh</t>
  </si>
  <si>
    <t>Dividends declared per share</t>
  </si>
  <si>
    <t>Cash and equivalents</t>
  </si>
  <si>
    <t>Short-term investments</t>
  </si>
  <si>
    <t>Inventories</t>
  </si>
  <si>
    <t>Other current assets</t>
  </si>
  <si>
    <t>Total current assets</t>
  </si>
  <si>
    <t>Long-term marketable investments</t>
  </si>
  <si>
    <t>Operating lease right-of-use assets</t>
  </si>
  <si>
    <t>Goodwill</t>
  </si>
  <si>
    <t>Deferred tax assets</t>
  </si>
  <si>
    <t>Other noncurrent assets</t>
  </si>
  <si>
    <t>Total assets</t>
  </si>
  <si>
    <t>Accounts payable and accrued expenses</t>
  </si>
  <si>
    <t>Current debt</t>
  </si>
  <si>
    <t>Other current liabilities</t>
  </si>
  <si>
    <t>Total current liabilities</t>
  </si>
  <si>
    <t>Long-term debt</t>
  </si>
  <si>
    <t>Noncurrent operating lease liabilities</t>
  </si>
  <si>
    <t>Other noncurrent liabilities</t>
  </si>
  <si>
    <t>Total liabilities</t>
  </si>
  <si>
    <t>Total liabilities and equity</t>
  </si>
  <si>
    <t>Stock-based compensation</t>
  </si>
  <si>
    <t>Net cash provided by operating activities</t>
  </si>
  <si>
    <t>Proceeds from issuance of debt</t>
  </si>
  <si>
    <t>Repayments of debt</t>
  </si>
  <si>
    <t>SEGMENT &amp; OPERATING DATA</t>
  </si>
  <si>
    <t>DRAM bit shipment growth (y/y)</t>
  </si>
  <si>
    <t>DRAM ASP change (y/y)</t>
  </si>
  <si>
    <t>NAND bit shipment growth (y/y)</t>
  </si>
  <si>
    <t>NAND ASP change (y/y)</t>
  </si>
  <si>
    <t>Gross margin (as reported)</t>
  </si>
  <si>
    <t>Employees (period end)</t>
  </si>
  <si>
    <t>Item</t>
  </si>
  <si>
    <t>Value</t>
  </si>
  <si>
    <t>As of date</t>
  </si>
  <si>
    <t>Share price</t>
  </si>
  <si>
    <t>Shares outstanding (latest cover page)</t>
  </si>
  <si>
    <t>Diluted shares (latest quarter)</t>
  </si>
  <si>
    <t>Market capitalisation</t>
  </si>
  <si>
    <t>Total debt (incl. finance leases)</t>
  </si>
  <si>
    <t>Cash, equivalents and investments</t>
  </si>
  <si>
    <t>Net debt / (net cash)</t>
  </si>
  <si>
    <t>Levered beta (5-yr monthly vs S&amp;P 500)</t>
  </si>
  <si>
    <t>10-year US Treasury yield</t>
  </si>
  <si>
    <t>Equity risk premium</t>
  </si>
  <si>
    <t>Pre-tax cost of debt (blended coupon / YTM)</t>
  </si>
  <si>
    <t>Credit rating (S&amp;P / Moody's)</t>
  </si>
  <si>
    <t>text</t>
  </si>
  <si>
    <t>US statutory tax rate</t>
  </si>
  <si>
    <t>Latest reported effective tax rate</t>
  </si>
  <si>
    <t>Ticker</t>
  </si>
  <si>
    <t>Market cap</t>
  </si>
  <si>
    <t>Net debt</t>
  </si>
  <si>
    <t>LTM revenue</t>
  </si>
  <si>
    <t>LTM EBITDA</t>
  </si>
  <si>
    <t>Samsung Electronics</t>
  </si>
  <si>
    <t>SK hynix</t>
  </si>
  <si>
    <t>Western Digital</t>
  </si>
  <si>
    <t>SanDisk</t>
  </si>
  <si>
    <t>Kioxia Holdings</t>
  </si>
  <si>
    <t>Seagate Technology</t>
  </si>
  <si>
    <t>Intel</t>
  </si>
  <si>
    <t>Texas Instruments</t>
  </si>
  <si>
    <t>005930.KS</t>
  </si>
  <si>
    <t>000660.KS</t>
  </si>
  <si>
    <t>WDC</t>
  </si>
  <si>
    <t>SNDK</t>
  </si>
  <si>
    <t>285A.T</t>
  </si>
  <si>
    <t>STX</t>
  </si>
  <si>
    <t>INTC</t>
  </si>
  <si>
    <t>TXN</t>
  </si>
  <si>
    <t>MARKET DATA &amp; CAPITALISATION</t>
  </si>
  <si>
    <t>PEER SET RAW MARKET DATA</t>
  </si>
  <si>
    <t>10-K FY2021–FY2025; 10-Q FY2026 Q1–Q3; 8-K FY2026</t>
  </si>
  <si>
    <t>Q1 FY26</t>
  </si>
  <si>
    <t>Q2 FY26</t>
  </si>
  <si>
    <t>Q3 FY26</t>
  </si>
  <si>
    <t>FY26 YTD</t>
  </si>
  <si>
    <t>Latest</t>
  </si>
  <si>
    <t>FTE</t>
  </si>
  <si>
    <t>ASSETS</t>
  </si>
  <si>
    <t>Current assets</t>
  </si>
  <si>
    <t>LIABILITIES</t>
  </si>
  <si>
    <t>Current liabilities</t>
  </si>
  <si>
    <t>Retained earnings</t>
  </si>
  <si>
    <t>Treasury stock</t>
  </si>
  <si>
    <t>Total Micron shareholders' equity</t>
  </si>
  <si>
    <t>CASH RECONCILIATION</t>
  </si>
  <si>
    <t>Compute and Networking (CNBU)</t>
  </si>
  <si>
    <t>Mobile (MBU)</t>
  </si>
  <si>
    <t>Embedded (EBU)</t>
  </si>
  <si>
    <t>Storage (SBU)</t>
  </si>
  <si>
    <t>Total revenue by business unit</t>
  </si>
  <si>
    <t>DRAM</t>
  </si>
  <si>
    <t>NAND</t>
  </si>
  <si>
    <t>Other</t>
  </si>
  <si>
    <t>VOLUME AND PRICING</t>
  </si>
  <si>
    <t>OTHER OPERATING METRICS</t>
  </si>
  <si>
    <t>Operating margin (as reported)</t>
  </si>
  <si>
    <t>SHARE PRICE AND CAPITALISATION</t>
  </si>
  <si>
    <t>COST OF CAPITAL INPUTS</t>
  </si>
  <si>
    <t>TAX</t>
  </si>
  <si>
    <t>CONSOLIDATED STATEMENTS OF OPERATIONS</t>
  </si>
  <si>
    <t>Gross margin</t>
  </si>
  <si>
    <t>OPERATING EXPENSES</t>
  </si>
  <si>
    <t>Selling, general, and administrative</t>
  </si>
  <si>
    <t>Restructure and asset impairments</t>
  </si>
  <si>
    <t>Other operating (income) expense, net</t>
  </si>
  <si>
    <t>NON-OPERATING INCOME (EXPENSE)</t>
  </si>
  <si>
    <t>Other non-operating income (expense), net</t>
  </si>
  <si>
    <t>Income before taxes and equity in net income of investees</t>
  </si>
  <si>
    <t>Income tax (provision) benefit</t>
  </si>
  <si>
    <t>Equity in net income (loss) of equity method investees</t>
  </si>
  <si>
    <t>Net income attributable to noncontrolling interests</t>
  </si>
  <si>
    <t>EARNINGS PER SHARE</t>
  </si>
  <si>
    <t>Basic</t>
  </si>
  <si>
    <t>Diluted</t>
  </si>
  <si>
    <t>NUMBER OF SHARES USED IN PER SHARE CALCULATIONS</t>
  </si>
  <si>
    <t>DIVIDENDS</t>
  </si>
  <si>
    <t>CONSOLIDATED BALANCE SHEETS</t>
  </si>
  <si>
    <t>Receivables</t>
  </si>
  <si>
    <t>Assets held for sale</t>
  </si>
  <si>
    <t>Noncurrent assets</t>
  </si>
  <si>
    <t>Property, plant, and equipment</t>
  </si>
  <si>
    <t>Intangible assets</t>
  </si>
  <si>
    <t>Total noncurrent assets</t>
  </si>
  <si>
    <t>Noncurrent liabilities</t>
  </si>
  <si>
    <t>Noncurrent unearned government incentives</t>
  </si>
  <si>
    <t>Total noncurrent liabilities</t>
  </si>
  <si>
    <t>MICRON SHAREHOLDERS' EQUITY</t>
  </si>
  <si>
    <t>Common stock, $0.10 par value</t>
  </si>
  <si>
    <t>Additional capital</t>
  </si>
  <si>
    <t>Accumulated other comprehensive income (loss)</t>
  </si>
  <si>
    <t>Noncontrolling interests in subsidiaries</t>
  </si>
  <si>
    <t>Total equity</t>
  </si>
  <si>
    <t>CONSOLIDATED STATEMENTS OF CASH FLOWS</t>
  </si>
  <si>
    <t>CASH FLOWS FROM OPERATING ACTIVITIES</t>
  </si>
  <si>
    <t>Adjustments to reconcile net income to net cash provided by operating activities</t>
  </si>
  <si>
    <t>Depreciation expense and amortization of intangible assets</t>
  </si>
  <si>
    <t>Amortization of debt discount and other costs</t>
  </si>
  <si>
    <t>(Gains) losses on debt prepayments, repurchases, and conversions</t>
  </si>
  <si>
    <t>Deferred income taxes, net</t>
  </si>
  <si>
    <t>Change in operating assets and liabilities</t>
  </si>
  <si>
    <t>CASH FLOWS FROM INVESTING ACTIVITIES</t>
  </si>
  <si>
    <t>Expenditures for property, plant, and equipment</t>
  </si>
  <si>
    <t>Purchases of available-for-sale securities</t>
  </si>
  <si>
    <t>Proceeds from maturities of available-for-sale securities</t>
  </si>
  <si>
    <t>Proceeds from sales of available-for-sale securities</t>
  </si>
  <si>
    <t>Proceeds from government incentives</t>
  </si>
  <si>
    <t>Net cash provided by (used for) investing activities</t>
  </si>
  <si>
    <t>CASH FLOWS FROM FINANCING ACTIVITIES</t>
  </si>
  <si>
    <t>Payments to acquire treasury stock</t>
  </si>
  <si>
    <t>Payments on equipment purchase contracts</t>
  </si>
  <si>
    <t>Net cash provided by (used for) financing activities</t>
  </si>
  <si>
    <t>Effect of currency exchange rate changes on cash</t>
  </si>
  <si>
    <t>Net increase (decrease) in cash, equivalents, and restricted cash</t>
  </si>
  <si>
    <t>Cash, equivalents, and restricted cash at beginning of period</t>
  </si>
  <si>
    <t>Cash, equivalents, and restricted cash at end of period</t>
  </si>
  <si>
    <t>SUPPLEMENTAL DISCLOSURES</t>
  </si>
  <si>
    <t>Income taxes paid, net</t>
  </si>
  <si>
    <t>Interest paid, net of amounts capitalized</t>
  </si>
  <si>
    <t>REVENUE BY BUSINESS UNIT (FY2025 SEGMENT STRUCTURE)</t>
  </si>
  <si>
    <t>Cloud Memory (CMBU)</t>
  </si>
  <si>
    <t>Core Data Center (CDBU)</t>
  </si>
  <si>
    <t>Mobile and Client (MCBU)</t>
  </si>
  <si>
    <t>Automotive and Embedded (AEBU)</t>
  </si>
  <si>
    <t>Legacy segment structure (FY2021-FY2024)</t>
  </si>
  <si>
    <t>Total revenue, legacy segments</t>
  </si>
  <si>
    <t>REVENUE BY PRODUCT</t>
  </si>
  <si>
    <t>Total revenue by product</t>
  </si>
  <si>
    <t>Acquisition of noncontrolling interest in IMFT</t>
  </si>
  <si>
    <t>Noncash equipment acquisitions on contracts payable and finance leases</t>
  </si>
  <si>
    <t>All Other</t>
  </si>
  <si>
    <t>Goodwill Impairement</t>
  </si>
  <si>
    <t>Other non-current liabilities</t>
  </si>
  <si>
    <t>Proceeds from sale of Lehi, Utah fab</t>
  </si>
  <si>
    <t>#0000FF</t>
  </si>
  <si>
    <t>Provision to write down inventories to net realizable value</t>
  </si>
  <si>
    <t>Repurchase of common stock - withholdings on employee equity awards</t>
  </si>
  <si>
    <t>Payents of dividends to shareholders</t>
  </si>
  <si>
    <t>17-Jun-2026</t>
  </si>
  <si>
    <t>28-May-2026</t>
  </si>
  <si>
    <t>Historical drivers  |  Ratios computed from Raw Data</t>
  </si>
  <si>
    <t>PERIOD</t>
  </si>
  <si>
    <t>9M FY26</t>
  </si>
  <si>
    <t>Trough</t>
  </si>
  <si>
    <t>Mid-cycle</t>
  </si>
  <si>
    <t>Peak</t>
  </si>
  <si>
    <t>From Raw Data</t>
  </si>
  <si>
    <t>Days in period</t>
  </si>
  <si>
    <t>days</t>
  </si>
  <si>
    <t>Typed: 365 for a full year, 273 for the 9 months</t>
  </si>
  <si>
    <t>A. REVENUE</t>
  </si>
  <si>
    <t>Row 18</t>
  </si>
  <si>
    <t>Revenue growth</t>
  </si>
  <si>
    <t>Row 18 vs prior year (9M: blank)</t>
  </si>
  <si>
    <t>PRODUCT MIX</t>
  </si>
  <si>
    <t>DRAM revenue</t>
  </si>
  <si>
    <t>Row 159</t>
  </si>
  <si>
    <t>NAND revenue</t>
  </si>
  <si>
    <t>Row 160</t>
  </si>
  <si>
    <t>DRAM % of revenue</t>
  </si>
  <si>
    <t>Row 159 / row 18</t>
  </si>
  <si>
    <t>NAND % of revenue</t>
  </si>
  <si>
    <t>Row 160 / row 18</t>
  </si>
  <si>
    <t>DRAM revenue growth</t>
  </si>
  <si>
    <t>Row 159 vs prior year (9M: blank)</t>
  </si>
  <si>
    <t>NAND revenue growth</t>
  </si>
  <si>
    <t>Row 160 vs prior year (9M: blank)</t>
  </si>
  <si>
    <t>Row 164</t>
  </si>
  <si>
    <t>Row 165</t>
  </si>
  <si>
    <t>Row 166</t>
  </si>
  <si>
    <t>Row 167</t>
  </si>
  <si>
    <t>Check: DRAM bits x ASP (implied revenue growth)</t>
  </si>
  <si>
    <t>(1 + bits) x (1 + ASP) - 1; compare with DRAM revenue growth</t>
  </si>
  <si>
    <t>B. MARGINS AND COSTS</t>
  </si>
  <si>
    <t>Gross margin %</t>
  </si>
  <si>
    <t>Row 20 / row 18</t>
  </si>
  <si>
    <t>R&amp;D % of revenue</t>
  </si>
  <si>
    <t>Row 22 / row 18</t>
  </si>
  <si>
    <t>R&amp;D growth ($)</t>
  </si>
  <si>
    <t>Row 22 vs prior year (9M: blank)</t>
  </si>
  <si>
    <t>SG&amp;A % of revenue</t>
  </si>
  <si>
    <t>Row 23 / row 18</t>
  </si>
  <si>
    <t>SG&amp;A growth ($)</t>
  </si>
  <si>
    <t>Row 23 vs prior year (9M: blank)</t>
  </si>
  <si>
    <t>Operating margin %</t>
  </si>
  <si>
    <t>Row 26 / row 18</t>
  </si>
  <si>
    <t>Row 26 + row 98</t>
  </si>
  <si>
    <t>EBITDA margin %</t>
  </si>
  <si>
    <t>EBITDA / revenue</t>
  </si>
  <si>
    <t>C. CAPEX AND PP&amp;E</t>
  </si>
  <si>
    <t>Row 115, shown positive</t>
  </si>
  <si>
    <t>Capex % of revenue</t>
  </si>
  <si>
    <t>Capex / row 18</t>
  </si>
  <si>
    <t>Government incentives received</t>
  </si>
  <si>
    <t>Row 119</t>
  </si>
  <si>
    <t>Net capex after incentives</t>
  </si>
  <si>
    <t>Capex - row 119</t>
  </si>
  <si>
    <t>D&amp;A</t>
  </si>
  <si>
    <t>Row 98</t>
  </si>
  <si>
    <t>D&amp;A % of opening PP&amp;E</t>
  </si>
  <si>
    <t>Row 98 / prior-year row 60 (9M: annualise)</t>
  </si>
  <si>
    <t>Capex / D&amp;A</t>
  </si>
  <si>
    <t>Capex / row 98</t>
  </si>
  <si>
    <t>D. WORKING CAPITAL</t>
  </si>
  <si>
    <t>DSO</t>
  </si>
  <si>
    <t>Row 53 / row 18 x days</t>
  </si>
  <si>
    <t>DIO</t>
  </si>
  <si>
    <t>Row 54 / row 19 x days</t>
  </si>
  <si>
    <t>DPO</t>
  </si>
  <si>
    <t>Row 70 / row 19 x days</t>
  </si>
  <si>
    <t>Net working capital</t>
  </si>
  <si>
    <t>Row 53 + row 54 - row 70</t>
  </si>
  <si>
    <t>NWC % of revenue</t>
  </si>
  <si>
    <t>NWC / annualised revenue</t>
  </si>
  <si>
    <t>E. TAX</t>
  </si>
  <si>
    <t>Effective tax rate</t>
  </si>
  <si>
    <t>-Row 32 / row 31</t>
  </si>
  <si>
    <t>Cash tax rate</t>
  </si>
  <si>
    <t>-Row 139 / row 31 (9M: blank)</t>
  </si>
  <si>
    <t>F. CASH FLOW</t>
  </si>
  <si>
    <t>Operating cash flow</t>
  </si>
  <si>
    <t>Row 113</t>
  </si>
  <si>
    <t>Free cash flow</t>
  </si>
  <si>
    <t>Row 113 + row 115</t>
  </si>
  <si>
    <t>FCF margin %</t>
  </si>
  <si>
    <t>FCF / revenue</t>
  </si>
  <si>
    <t>FCF including incentives</t>
  </si>
  <si>
    <t>FCF + row 119</t>
  </si>
  <si>
    <t>G. SHARES AND CAPITAL RETURNS</t>
  </si>
  <si>
    <t>SBC % of revenue</t>
  </si>
  <si>
    <t>Row 101 / row 18</t>
  </si>
  <si>
    <t>Row 42</t>
  </si>
  <si>
    <t>Diluted share change</t>
  </si>
  <si>
    <t>Row 42 vs prior year (9M: blank)</t>
  </si>
  <si>
    <t>Dividends per share</t>
  </si>
  <si>
    <t>Row 44</t>
  </si>
  <si>
    <t>Dividends paid</t>
  </si>
  <si>
    <t>Row 127, shown positive</t>
  </si>
  <si>
    <t>Buybacks</t>
  </si>
  <si>
    <t>Rows 125 + 126, shown positive</t>
  </si>
  <si>
    <t>(Dividends + buybacks) / row 34</t>
  </si>
  <si>
    <t>H. BALANCE SHEET</t>
  </si>
  <si>
    <t>Cash and investments</t>
  </si>
  <si>
    <t>Rows 51 + 52 + 59</t>
  </si>
  <si>
    <t>Total debt</t>
  </si>
  <si>
    <t>Rows 71 + 75</t>
  </si>
  <si>
    <t>Net cash / (net debt)</t>
  </si>
  <si>
    <t>Cash and investments - total debt</t>
  </si>
  <si>
    <t>Debt / EBITDA</t>
  </si>
  <si>
    <t>Total debt / annualised EBITDA</t>
  </si>
  <si>
    <t>dso = ar/rev * 365</t>
  </si>
  <si>
    <t>dho = inv/cogs * 365</t>
  </si>
  <si>
    <t>dpo = ap/cogs*365</t>
  </si>
  <si>
    <t>ccc</t>
  </si>
  <si>
    <t>Total Payout ratio</t>
  </si>
  <si>
    <t>Dividend Payout Ratio</t>
  </si>
  <si>
    <t>Dividends/NI</t>
  </si>
  <si>
    <t>Estimate: filing says DRAM bits grew 'slightly over 10%'</t>
  </si>
  <si>
    <t>Estimate: not quantified in filing; implied ~0% from revenue growth / bit growth</t>
  </si>
  <si>
    <t>Assumptions and Key Drivers</t>
  </si>
  <si>
    <t>SCENARIO SWITCH:</t>
  </si>
  <si>
    <t>A. FY2026E INPUTS (Q4 GUIDANCE)</t>
  </si>
  <si>
    <t>Q4 revenue</t>
  </si>
  <si>
    <t>Q4 gross margin</t>
  </si>
  <si>
    <t>Q4 operating expenses</t>
  </si>
  <si>
    <t>Q4 tax rate</t>
  </si>
  <si>
    <t>Q4 PRODUCT MIX</t>
  </si>
  <si>
    <t>Q4 DRAM % of revenue</t>
  </si>
  <si>
    <t>Q4 NAND % of revenue</t>
  </si>
  <si>
    <t>Q4 Other % of revenue</t>
  </si>
  <si>
    <t>B. KEY DRIVERS (CHANGE BY CASE)</t>
  </si>
  <si>
    <t>1. DRAM PRICE CHANGE (ASP, Y/Y)</t>
  </si>
  <si>
    <t>Live</t>
  </si>
  <si>
    <t>2. NAND PRICE CHANGE (ASP, Y/Y)</t>
  </si>
  <si>
    <t>3A. DRAM BIT SHIPMENT GROWTH (Y/Y)</t>
  </si>
  <si>
    <t>3B. NAND BIT SHIPMENT GROWTH (Y/Y)</t>
  </si>
  <si>
    <t>4. CAPEX % OF REVENUE</t>
  </si>
  <si>
    <t>C. OPERATING ASSUMPTIONS (SAME IN EVERY CASE)</t>
  </si>
  <si>
    <t>REVENUE AND COSTS</t>
  </si>
  <si>
    <t>Cost per bit decline</t>
  </si>
  <si>
    <t>Other revenue % of DRAM + NAND</t>
  </si>
  <si>
    <t>Other operating (income) expense</t>
  </si>
  <si>
    <t>CAPEX AND PP&amp;E</t>
  </si>
  <si>
    <t>Government incentives % of capex</t>
  </si>
  <si>
    <t>WORKING CAPITAL</t>
  </si>
  <si>
    <t>SHARES AND CAPITAL RETURNS</t>
  </si>
  <si>
    <t>Stock-based compensation, FY2026E</t>
  </si>
  <si>
    <t>Stock-based compensation growth ($)</t>
  </si>
  <si>
    <t>Buybacks % of stock-based compensation</t>
  </si>
  <si>
    <t>Dividends per share, FY2027E</t>
  </si>
  <si>
    <t>Dividends per share growth</t>
  </si>
  <si>
    <t>INTEREST AND DEBT</t>
  </si>
  <si>
    <t>Interest rate on cash and investments</t>
  </si>
  <si>
    <t>Equity-method income and other non-operating</t>
  </si>
  <si>
    <t>&lt;- Implied based on eps, guidance</t>
  </si>
  <si>
    <t>Revenue Schedule</t>
  </si>
  <si>
    <t>Actual</t>
  </si>
  <si>
    <t>Cost Schedule</t>
  </si>
  <si>
    <t>Fixed Asset (PP&amp;E) Schedule</t>
  </si>
  <si>
    <t>Working Capital Schedule</t>
  </si>
  <si>
    <t>Income Tax Schedule</t>
  </si>
  <si>
    <t>Debt and Interest Schedule</t>
  </si>
  <si>
    <t>Equity Schedule</t>
  </si>
  <si>
    <t>Income Statement</t>
  </si>
  <si>
    <t>Cash Flow Statement</t>
  </si>
  <si>
    <t>Operating Activities</t>
  </si>
  <si>
    <t>($M)</t>
  </si>
  <si>
    <t>Depreciation and amortization</t>
  </si>
  <si>
    <t>(Increase) / decrease in net working capital</t>
  </si>
  <si>
    <t>Other operating items</t>
  </si>
  <si>
    <t>Cash from operating activities</t>
  </si>
  <si>
    <t>Investing Activities</t>
  </si>
  <si>
    <t>Capital expenditures</t>
  </si>
  <si>
    <t>Investments and other</t>
  </si>
  <si>
    <t>Cash from investing activities</t>
  </si>
  <si>
    <t>Financing Activities</t>
  </si>
  <si>
    <t>Debt issuance / (repayment)</t>
  </si>
  <si>
    <t>Share buybacks</t>
  </si>
  <si>
    <t>Other financing</t>
  </si>
  <si>
    <t>Cash from financing activities</t>
  </si>
  <si>
    <t>Cash Reconciliation</t>
  </si>
  <si>
    <t>Net change in cash</t>
  </si>
  <si>
    <t>Beginning cash</t>
  </si>
  <si>
    <t>Ending cash</t>
  </si>
  <si>
    <t>Balance Sheet</t>
  </si>
  <si>
    <t>Revenue per bit index</t>
  </si>
  <si>
    <t>Growth</t>
  </si>
  <si>
    <t>Other revenue</t>
  </si>
  <si>
    <t>Total Revenue</t>
  </si>
  <si>
    <t>Bit growth</t>
  </si>
  <si>
    <t>(%)</t>
  </si>
  <si>
    <t>Price change</t>
  </si>
  <si>
    <t>Bit volume index</t>
  </si>
  <si>
    <t>(index)</t>
  </si>
  <si>
    <t>Total revenue</t>
  </si>
  <si>
    <t>Other % of revenue</t>
  </si>
  <si>
    <t>Revenue and Gross Profit</t>
  </si>
  <si>
    <t>Operating Expenses</t>
  </si>
  <si>
    <t>Selling, general and administrative</t>
  </si>
  <si>
    <t>Restructure and other operating (income) expense</t>
  </si>
  <si>
    <t>Total operating expenses</t>
  </si>
  <si>
    <t>Operating Income</t>
  </si>
  <si>
    <t>Operating margin</t>
  </si>
  <si>
    <t>Non-Operating and Tax</t>
  </si>
  <si>
    <t>Other non-operating income (expense)</t>
  </si>
  <si>
    <t>Income before taxes</t>
  </si>
  <si>
    <t>Equity-method income</t>
  </si>
  <si>
    <t>Net margin</t>
  </si>
  <si>
    <t>Per Share</t>
  </si>
  <si>
    <t>(M sh)</t>
  </si>
  <si>
    <t>Diluted EPS</t>
  </si>
  <si>
    <t>($)</t>
  </si>
  <si>
    <t>Current Assets</t>
  </si>
  <si>
    <t>Noncurrent Assets</t>
  </si>
  <si>
    <t>Property, plant and equipment</t>
  </si>
  <si>
    <t>Goodwill and intangible assets</t>
  </si>
  <si>
    <t>Liabilities</t>
  </si>
  <si>
    <t>Equity</t>
  </si>
  <si>
    <t>Total shareholders' equity</t>
  </si>
  <si>
    <t>Check</t>
  </si>
  <si>
    <t>Balance check (assets - liabilities - equity)</t>
  </si>
  <si>
    <t xml:space="preserve">&lt;- Index Based calc method. We use the base price from 2026 to forecast </t>
  </si>
  <si>
    <t>COGS</t>
  </si>
  <si>
    <t>Blended bit growth</t>
  </si>
  <si>
    <t>Cost per bit index</t>
  </si>
  <si>
    <t>Gross Profit</t>
  </si>
  <si>
    <t>Gross Margin (%)</t>
  </si>
  <si>
    <t>R&amp;D growth (%)</t>
  </si>
  <si>
    <t>R&amp;D ($M)</t>
  </si>
  <si>
    <t>SG&amp;A growth (%)</t>
  </si>
  <si>
    <t>SG&amp;A ($M)</t>
  </si>
  <si>
    <t>Other operating ($M)</t>
  </si>
  <si>
    <t>Operating Income ($M)</t>
  </si>
  <si>
    <t>Operating Margin (%)</t>
  </si>
  <si>
    <t>Cost per bit</t>
  </si>
  <si>
    <t>q3 acc cogs *(revenue*1-gpm)</t>
  </si>
  <si>
    <t>How FY2026E R&amp;D is built:  R&amp;D = R&amp;D already spent in Q1-Q3 (9-month YTD)  +  Q4 opex guidance x R&amp;D's share of Q3 opex  (Q3 R&amp;D / Q3 total operating expenses).  Micron guides only one Q4 opex total, so we split it using last quarter's mix.  SG&amp;A and other operating are built the same way.</t>
  </si>
  <si>
    <t>Depreciation years, existing assets</t>
  </si>
  <si>
    <t>years</t>
  </si>
  <si>
    <t>Depreciation years, new assets</t>
  </si>
  <si>
    <t>Capex %</t>
  </si>
  <si>
    <t>Incentives %</t>
  </si>
  <si>
    <t>Net capex</t>
  </si>
  <si>
    <t>Years remaining:</t>
  </si>
  <si>
    <t>Existing assets:</t>
  </si>
  <si>
    <t>Incentives</t>
  </si>
  <si>
    <t>Other (reconciling)</t>
  </si>
  <si>
    <t>New assets:</t>
  </si>
  <si>
    <t>FY2026 net capex guidance</t>
  </si>
  <si>
    <t>$ M</t>
  </si>
  <si>
    <t>Fixed Assets (PP&amp;E)</t>
  </si>
  <si>
    <t>PP&amp;E - beginning</t>
  </si>
  <si>
    <t>Plus: net capex</t>
  </si>
  <si>
    <t>Depreciation - existing assets</t>
  </si>
  <si>
    <t>Depreciation - new assets (by capex year)</t>
  </si>
  <si>
    <t>Total depreciation</t>
  </si>
  <si>
    <t>PP&amp;E - ending</t>
  </si>
  <si>
    <t>Other current assets days (on COGS)</t>
  </si>
  <si>
    <t>Other current liabilities days (on revenue)</t>
  </si>
  <si>
    <t>Income statement items</t>
  </si>
  <si>
    <t>(days)</t>
  </si>
  <si>
    <t>Days</t>
  </si>
  <si>
    <t>Receivables (DSO, on revenue)</t>
  </si>
  <si>
    <t>Inventories (DIO, on COGS)</t>
  </si>
  <si>
    <t>Other current assets (on COGS)</t>
  </si>
  <si>
    <t>Payables and accrued expenses (DPO, on COGS)</t>
  </si>
  <si>
    <t>Other current liabilities (on revenue)</t>
  </si>
  <si>
    <t>Balances</t>
  </si>
  <si>
    <t>Payables and accrued expenses</t>
  </si>
  <si>
    <t>(Increase) / decrease in NWC</t>
  </si>
  <si>
    <t>Statutory tax rate (US federal, memo)</t>
  </si>
  <si>
    <t>Deferred tax % of book tax</t>
  </si>
  <si>
    <t>Pre-tax income</t>
  </si>
  <si>
    <t>Income tax</t>
  </si>
  <si>
    <t>Book tax (income statement)</t>
  </si>
  <si>
    <t>Deferred tax (non-cash)</t>
  </si>
  <si>
    <t>Current tax (cash taxes paid)</t>
  </si>
  <si>
    <t>Deferred tax asset (net)</t>
  </si>
  <si>
    <t>Opening</t>
  </si>
  <si>
    <t>Less: deferred tax</t>
  </si>
  <si>
    <t>Closing</t>
  </si>
  <si>
    <t>Interest rate on senior notes</t>
  </si>
  <si>
    <t>Senior notes issuance / (repayment)</t>
  </si>
  <si>
    <t>Interest rate on revolver (SOFR + spread)</t>
  </si>
  <si>
    <t>Interest rate on finance leases</t>
  </si>
  <si>
    <t>Finance lease additions / (repayments)</t>
  </si>
  <si>
    <t>Finance leases outstanding, FY2025</t>
  </si>
  <si>
    <t>Finance leases outstanding, Q3 FY26</t>
  </si>
  <si>
    <t>Opening cash and investments</t>
  </si>
  <si>
    <t>Change in cash (cash flow statement)</t>
  </si>
  <si>
    <t>Closing cash and investments</t>
  </si>
  <si>
    <t>Revolver ($2.0bn facility)</t>
  </si>
  <si>
    <t>Mandatory debt repayments</t>
  </si>
  <si>
    <t>Cash flow available for revolver</t>
  </si>
  <si>
    <t>Opening revolver</t>
  </si>
  <si>
    <t>Draw / (repayment)</t>
  </si>
  <si>
    <t>Closing revolver</t>
  </si>
  <si>
    <t>Interest rate on revolver</t>
  </si>
  <si>
    <t>Interest expense - revolver</t>
  </si>
  <si>
    <t>Senior unsecured notes</t>
  </si>
  <si>
    <t>Opening notes</t>
  </si>
  <si>
    <t>Issuance / (repayment)</t>
  </si>
  <si>
    <t>Closing notes</t>
  </si>
  <si>
    <t>Interest rate on notes</t>
  </si>
  <si>
    <t>Interest expense - notes</t>
  </si>
  <si>
    <t>Finance lease obligations</t>
  </si>
  <si>
    <t>Opening finance leases</t>
  </si>
  <si>
    <t>Additions / (repayments)</t>
  </si>
  <si>
    <t>Closing finance leases</t>
  </si>
  <si>
    <t>Interest expense - finance leases</t>
  </si>
  <si>
    <t>Total interest expense</t>
  </si>
  <si>
    <t>Net interest income (expense)</t>
  </si>
  <si>
    <t>SBC growth</t>
  </si>
  <si>
    <t>Shares and capital returns</t>
  </si>
  <si>
    <t>Buybacks % of SBC</t>
  </si>
  <si>
    <t>Shareholders' equity</t>
  </si>
  <si>
    <t>Opening equity</t>
  </si>
  <si>
    <t>Plus: net income</t>
  </si>
  <si>
    <t>Plus: stock-based compensation</t>
  </si>
  <si>
    <t>Less: share buybacks</t>
  </si>
  <si>
    <t>Less: dividends paid</t>
  </si>
  <si>
    <t>Closing equity</t>
  </si>
  <si>
    <t>15-Sep-2026</t>
  </si>
  <si>
    <t>stockanalysis.com - close 15-Sep-2026 (Yahoo Finance 924.03)</t>
  </si>
  <si>
    <t>10-Q cover page, shares outstanding 17-Jun-2026</t>
  </si>
  <si>
    <t>10-Q Q3 FY26 diluted share count</t>
  </si>
  <si>
    <t>10-Q Q3 FY26 balance sheet: current debt + long-term debt</t>
  </si>
  <si>
    <t>10-Q Q3 FY26: cash + short-term + long-term investments</t>
  </si>
  <si>
    <t>stockanalysis.com / Yahoo Finance, 5-year monthly beta</t>
  </si>
  <si>
    <t>14-Sep-2026</t>
  </si>
  <si>
    <t>FRED DGS10, 10-year Treasury constant maturity, 14-Sep-2026</t>
  </si>
  <si>
    <t>01-Sep-2026</t>
  </si>
  <si>
    <t>Damodaran implied ERP for the S&amp;P 500, 01-Sep-2026</t>
  </si>
  <si>
    <t>FRED BAMLC0A4CBBBEY, ICE BofA BBB effective yield, 14-Sep-2026</t>
  </si>
  <si>
    <t>BBB (S&amp;P) / Baa2 (Moody's)</t>
  </si>
  <si>
    <t>26-May-2026</t>
  </si>
  <si>
    <t>S&amp;P affirmed BBB 26-May-2026; Moody's upgraded to Baa2 08-Jan-2026</t>
  </si>
  <si>
    <t>Free Cash Flow</t>
  </si>
  <si>
    <t>Returns, Leverage and Market Data</t>
  </si>
  <si>
    <t>As of</t>
  </si>
  <si>
    <t>Source</t>
  </si>
  <si>
    <t>Link</t>
  </si>
  <si>
    <t>Share price (close)</t>
  </si>
  <si>
    <t>$927.60</t>
  </si>
  <si>
    <t>stockanalysis.com</t>
  </si>
  <si>
    <t>https://stockanalysis.com/stocks/MU/</t>
  </si>
  <si>
    <t>Shares outstanding</t>
  </si>
  <si>
    <t>1,129.4M</t>
  </si>
  <si>
    <t>Micron 10-Q Q3 FY26 cover page</t>
  </si>
  <si>
    <t>https://www.sec.gov/Archives/edgar/data/0000723125/000072312526000015/mu-20260528.htm</t>
  </si>
  <si>
    <t>Levered beta (5-yr monthly)</t>
  </si>
  <si>
    <t>2.22</t>
  </si>
  <si>
    <t>stockanalysis.com / Yahoo Finance</t>
  </si>
  <si>
    <t>10-year Treasury yield</t>
  </si>
  <si>
    <t>4.97%</t>
  </si>
  <si>
    <t>FRED series DGS10</t>
  </si>
  <si>
    <t>https://fred.stlouisfed.org/series/DGS10</t>
  </si>
  <si>
    <t>Equity risk premium (implied)</t>
  </si>
  <si>
    <t>4.14%</t>
  </si>
  <si>
    <t>Damodaran, NYU Stern</t>
  </si>
  <si>
    <t>https://pages.stern.nyu.edu/~adamodar/New_Home_Page/home.htm</t>
  </si>
  <si>
    <t>Pre-tax cost of debt (BBB index)</t>
  </si>
  <si>
    <t>5.90%</t>
  </si>
  <si>
    <t>FRED series BAMLC0A4CBBBEY</t>
  </si>
  <si>
    <t>https://fred.stlouisfed.org/series/BAMLC0A4CBBBEY</t>
  </si>
  <si>
    <t>Credit rating - S&amp;P</t>
  </si>
  <si>
    <t>BBB, outlook positive</t>
  </si>
  <si>
    <t>S&amp;P Global Ratings</t>
  </si>
  <si>
    <t>https://cbonds.com/news/3941503/</t>
  </si>
  <si>
    <t>Credit rating - Moody's</t>
  </si>
  <si>
    <t>Baa2, outlook stable</t>
  </si>
  <si>
    <t>08-Jan-2026</t>
  </si>
  <si>
    <t>Moody's Investors Service</t>
  </si>
  <si>
    <t>https://www.moodys.com/credit-ratings/Micron-Technology-Inc-credit-rating-491900</t>
  </si>
  <si>
    <t>Financial statements FY2021-FY2025</t>
  </si>
  <si>
    <t>10-K filings</t>
  </si>
  <si>
    <t>Micron 10-K</t>
  </si>
  <si>
    <t>https://www.sec.gov/cgi-bin/browse-edgar?action=getcompany&amp;CIK=0000723125&amp;type=10-K</t>
  </si>
  <si>
    <t>Q1-Q3 FY2026 and 9M data</t>
  </si>
  <si>
    <t>10-Q filings</t>
  </si>
  <si>
    <t>Micron 10-Q Q3 FY26</t>
  </si>
  <si>
    <t>Operating Performance</t>
  </si>
  <si>
    <t>Revenue Growth</t>
  </si>
  <si>
    <t>EBITDA Margin</t>
  </si>
  <si>
    <t xml:space="preserve">EBIT </t>
  </si>
  <si>
    <t>EBIT Margin</t>
  </si>
  <si>
    <t>Effective Tax Rate</t>
  </si>
  <si>
    <t>Less: taxes on EBIT</t>
  </si>
  <si>
    <t>NOPAT</t>
  </si>
  <si>
    <t>Plus: depreciation and amortisation</t>
  </si>
  <si>
    <t>Less: Net Capex</t>
  </si>
  <si>
    <t>Less: Increase in Working Capital</t>
  </si>
  <si>
    <t>Cash Connversions</t>
  </si>
  <si>
    <t>Cash from Operations</t>
  </si>
  <si>
    <t>Less: SBC and after tax Net Interest income</t>
  </si>
  <si>
    <t>Less: Capex</t>
  </si>
  <si>
    <t>FCFF (CFO Route)</t>
  </si>
  <si>
    <t xml:space="preserve"> </t>
  </si>
  <si>
    <t>Invested Capital</t>
  </si>
  <si>
    <t>ROIC</t>
  </si>
  <si>
    <t>Net Debt/(net cash)</t>
  </si>
  <si>
    <t>Net Debt/EBITDA</t>
  </si>
  <si>
    <t>Interest Coverage</t>
  </si>
  <si>
    <t>D&amp;A as % of operating expenses</t>
  </si>
  <si>
    <t>Market Data (as of 15-Sep-2026)</t>
  </si>
  <si>
    <t>Net debt / (net cash), FY2026E</t>
  </si>
  <si>
    <t>Trading Multiples (today's price)</t>
  </si>
  <si>
    <t>Trailing</t>
  </si>
  <si>
    <t>Current</t>
  </si>
  <si>
    <t>Forward</t>
  </si>
  <si>
    <t>Basis</t>
  </si>
  <si>
    <t>P / E</t>
  </si>
  <si>
    <t>(x)</t>
  </si>
  <si>
    <t>P / B (price to book)</t>
  </si>
  <si>
    <t>P / S (price to sales)</t>
  </si>
  <si>
    <t>EV / EBITDA</t>
  </si>
  <si>
    <t>EV / Sales</t>
  </si>
  <si>
    <t>EV / unlevered FCF</t>
  </si>
  <si>
    <t>Industry levered beta, US semiconductors</t>
  </si>
  <si>
    <t>Jan-2026</t>
  </si>
  <si>
    <t>Damodaran, Betas by Sector (US), Jan-2026: Semiconductor, 66 firms</t>
  </si>
  <si>
    <t>Industry debt / equity (D/E), US semiconductors</t>
  </si>
  <si>
    <t>Industry effective tax rate, US semiconductors</t>
  </si>
  <si>
    <t>Weighted Average Cost of Capital</t>
  </si>
  <si>
    <t>A. Cost of Equity (CAPM)</t>
  </si>
  <si>
    <t>Risk-free rate (10-year Treasury)</t>
  </si>
  <si>
    <t>Regression beta (5-year monthly)</t>
  </si>
  <si>
    <t>Market beta</t>
  </si>
  <si>
    <t>Weight on regression beta (Blume)</t>
  </si>
  <si>
    <t>Adjusted beta</t>
  </si>
  <si>
    <t>Cost of equity</t>
  </si>
  <si>
    <t>B. Cost of Debt</t>
  </si>
  <si>
    <t>Pre-tax cost of debt (BBB yield)</t>
  </si>
  <si>
    <t>Tax rate</t>
  </si>
  <si>
    <t>After-tax cost of debt</t>
  </si>
  <si>
    <t>C. Capital Structure (market values)</t>
  </si>
  <si>
    <t>Market value of equity</t>
  </si>
  <si>
    <t>Total debt incl. finance leases, FY2026E</t>
  </si>
  <si>
    <t>Total capital</t>
  </si>
  <si>
    <t>Equity weight (E/V)</t>
  </si>
  <si>
    <t>Debt weight (D/V)</t>
  </si>
  <si>
    <t>Debt / equity (D/E)</t>
  </si>
  <si>
    <t>D. WACC</t>
  </si>
  <si>
    <t>Equity: weight × cost of equity</t>
  </si>
  <si>
    <t>Debt: weight × after-tax cost of debt</t>
  </si>
  <si>
    <t>E. Industry Beta (bottom-up)</t>
  </si>
  <si>
    <t>Industry levered beta (US semiconductors)</t>
  </si>
  <si>
    <t>Industry debt / equity</t>
  </si>
  <si>
    <t>Industry tax rate</t>
  </si>
  <si>
    <t>Unlevered beta</t>
  </si>
  <si>
    <t>Relevered beta at Micron's D/E</t>
  </si>
  <si>
    <t>F. WACC by Beta Method</t>
  </si>
  <si>
    <t>Adjusted (base)</t>
  </si>
  <si>
    <t>Regression</t>
  </si>
  <si>
    <t>Industry</t>
  </si>
  <si>
    <t>Beta</t>
  </si>
  <si>
    <t>Industry beta, D/E, tax rate (US semiconductors)</t>
  </si>
  <si>
    <t>1.52 · 2.59% · 5.11%</t>
  </si>
  <si>
    <t>Damodaran, Betas by Sector (US)</t>
  </si>
  <si>
    <t>https://pages.stern.nyu.edu/~adamodar/New_Home_Page/datafile/Betas.html</t>
  </si>
  <si>
    <t>Industry Levered beta/(1+(after tax debt to equity ratio)</t>
  </si>
  <si>
    <t>Levered beta = unlevered beta * (1+after tax debt to equity ratio)</t>
  </si>
  <si>
    <t>D. VALUATION (SAME IN EVERY CASE)</t>
  </si>
  <si>
    <t>Mid-year discounting adjustment (0.5 = mid-year, 0 = year-end)</t>
  </si>
  <si>
    <t>EV / EBITDA at fiscal year end</t>
  </si>
  <si>
    <t>stockanalysis.com, MU financial ratios (annual), EV/EBITDA at each fiscal year end</t>
  </si>
  <si>
    <t>Discounted Cash Flow</t>
  </si>
  <si>
    <t>Unlevered Free Cash Flow</t>
  </si>
  <si>
    <t>Less: net capex</t>
  </si>
  <si>
    <t>Less: increase in working capital</t>
  </si>
  <si>
    <t>Unlevered free cash flow</t>
  </si>
  <si>
    <t>Reinvestment and Returns</t>
  </si>
  <si>
    <t>Reinvestment (NOPAT less free cash flow)</t>
  </si>
  <si>
    <t>Reinvestment rate</t>
  </si>
  <si>
    <t>Discounting (valuation date: FY2026 year end)</t>
  </si>
  <si>
    <t>Year</t>
  </si>
  <si>
    <t>(years)</t>
  </si>
  <si>
    <t>Discount period (mid-year)</t>
  </si>
  <si>
    <t>Discount factor</t>
  </si>
  <si>
    <t>PV of unlevered free cash flow</t>
  </si>
  <si>
    <t>Terminal Value and Valuation</t>
  </si>
  <si>
    <t>A. Valuation Inputs</t>
  </si>
  <si>
    <t>Mid-year adjustment</t>
  </si>
  <si>
    <t>Exit multiple: median FY2021-FY2025 EV / EBITDA</t>
  </si>
  <si>
    <t>B. Long-Run Growth (computed)</t>
  </si>
  <si>
    <t>Reinvestment rate, FY2030E-FY2032E average</t>
  </si>
  <si>
    <t>Return on new capital, FY2030E-FY2032E average ROIC</t>
  </si>
  <si>
    <t>Fundamental growth (reinvestment rate × return)</t>
  </si>
  <si>
    <t>Ceiling: 10-year Treasury yield</t>
  </si>
  <si>
    <t>Long-run growth used</t>
  </si>
  <si>
    <t>C. Terminal Value (end of FY2032E)</t>
  </si>
  <si>
    <t>Perpetuity growth</t>
  </si>
  <si>
    <t>Exit multiple</t>
  </si>
  <si>
    <t>FY2032E base: NOPAT (F) / EBITDA (G)</t>
  </si>
  <si>
    <t>Terminal free cash flow, FY2033E</t>
  </si>
  <si>
    <t>Terminal value</t>
  </si>
  <si>
    <t>Discount factor, end of FY2032E</t>
  </si>
  <si>
    <t>PV of terminal value</t>
  </si>
  <si>
    <t>D. Enterprise Value to Value per Share</t>
  </si>
  <si>
    <t>PV of free cash flow, FY2027E-FY2032E</t>
  </si>
  <si>
    <t>Plus: cash and investments, FY2026E</t>
  </si>
  <si>
    <t>Less: total debt, FY2026E</t>
  </si>
  <si>
    <t>Diluted shares, FY2026E</t>
  </si>
  <si>
    <t>Value per share</t>
  </si>
  <si>
    <t>Share price (15-Sep-2026)</t>
  </si>
  <si>
    <t>Upside / (downside)</t>
  </si>
  <si>
    <t>E. Cross-Checks</t>
  </si>
  <si>
    <t>Terminal value as % of enterprise value</t>
  </si>
  <si>
    <t>Implied EV / EBITDA</t>
  </si>
  <si>
    <t>Implied perpetual growth</t>
  </si>
  <si>
    <t>F. What the Market Implies (today's price)</t>
  </si>
  <si>
    <t>Market value of equity at today's price</t>
  </si>
  <si>
    <t>Market enterprise value</t>
  </si>
  <si>
    <t>Less: PV of free cash flow, FY2027E-FY2032E</t>
  </si>
  <si>
    <t>Terminal value the price requires</t>
  </si>
  <si>
    <t>Market-implied perpetual growth</t>
  </si>
  <si>
    <t>Market-implied exit multiple</t>
  </si>
  <si>
    <t>EV / EBITDA history, FY2021-FY2025</t>
  </si>
  <si>
    <t>6.25 · 3.52 · 19.33 · 12.30 · 7.77x</t>
  </si>
  <si>
    <t>Fiscal year ends</t>
  </si>
  <si>
    <t>stockanalysis.com, financial ratios (annual)</t>
  </si>
  <si>
    <t>https://stockanalysis.com/stocks/mu/financials/ratios/</t>
  </si>
  <si>
    <t>Price (local)</t>
  </si>
  <si>
    <t>Shares (M)</t>
  </si>
  <si>
    <t>LTM EPS (local)</t>
  </si>
  <si>
    <t>Book equity</t>
  </si>
  <si>
    <t>stockanalysis.com statistics + price history: KRW close 15-Sep-2026; shares = market cap / price (common + preferred); balance sheet Jun-2026; LTM to Jun-2026</t>
  </si>
  <si>
    <t>stockanalysis.com statistics + price history: KRW close 15-Sep-2026; balance sheet Jun-2026; LTM to Jun-2026</t>
  </si>
  <si>
    <t>stockanalysis.com statistics + price history: US$ close 15-Sep-2026; balance sheet Jun-2026 quarter; LTM to Jun-2026 (net income includes gains on SanDisk stake)</t>
  </si>
  <si>
    <t>stockanalysis.com statistics + price history: US$ close 15-Sep-2026; balance sheet Jun-2026 quarter; LTM to Jun-2026</t>
  </si>
  <si>
    <t>stockanalysis.com statistics + price history: JPY close 15-Sep-2026 (split-adjusted for the 29-Sep-2026 3-for-1 split, as are shares and EPS); LTM to Jun-2026</t>
  </si>
  <si>
    <t>stockanalysis.com statistics + price history: US$ close 15-Sep-2026; balance sheet Jun-2026 quarter; LTM to Jun-2026 (loss-making: P/E not meaningful)</t>
  </si>
  <si>
    <t>Local currency, millions (price and EPS per share). Prices are the 15-Sep-2026 close, the same day as Micron's price; financials are the last twelve months reported by then. FX rates below convert to US$ on the Comps tab.</t>
  </si>
  <si>
    <t>FX RATES (15-SEP-2026)</t>
  </si>
  <si>
    <t>Currency</t>
  </si>
  <si>
    <t>Code</t>
  </si>
  <si>
    <t>Per US$</t>
  </si>
  <si>
    <t>Korean won per US$</t>
  </si>
  <si>
    <t>KRW</t>
  </si>
  <si>
    <t>FRED H.10 series DEXKOUS, 15-Sep-2026</t>
  </si>
  <si>
    <t>Japanese yen per US$</t>
  </si>
  <si>
    <t>JPY</t>
  </si>
  <si>
    <t>FRED H.10 series DEXJPUS, 15-Sep-2026</t>
  </si>
  <si>
    <t>US dollar</t>
  </si>
  <si>
    <t>Base currency</t>
  </si>
  <si>
    <t>Peer market data and LTM financials (8 companies)</t>
  </si>
  <si>
    <t>see Raw Data 201-208</t>
  </si>
  <si>
    <t>stockanalysis.com statistics and price history</t>
  </si>
  <si>
    <t>https://stockanalysis.com/stocks/wdc/statistics/</t>
  </si>
  <si>
    <t>FX rates KRW and JPY per US$</t>
  </si>
  <si>
    <t>1,361.84 · 155.11</t>
  </si>
  <si>
    <t>FRED H.10 (DEXKOUS, DEXJPUS)</t>
  </si>
  <si>
    <t>https://fred.stlouisfed.org/series/DEXKOUS</t>
  </si>
  <si>
    <t>Comparable Companies</t>
  </si>
  <si>
    <t>US$ millions at the 15-Sep-2026 close and FX rates (Micron's price date). LTM = last twelve months reported by 15-Sep-2026, i.e. to June 2026. Peer data: Raw Data rows 201-216.</t>
  </si>
  <si>
    <t>Ccy</t>
  </si>
  <si>
    <t>FX per US$</t>
  </si>
  <si>
    <t>Market cap ($M)</t>
  </si>
  <si>
    <t>Net debt / (cash) ($M)</t>
  </si>
  <si>
    <t>Enterprise value ($M)</t>
  </si>
  <si>
    <t>LTM revenue ($M)</t>
  </si>
  <si>
    <t>LTM EBITDA ($M)</t>
  </si>
  <si>
    <t>EBITDA margin</t>
  </si>
  <si>
    <t>P / B</t>
  </si>
  <si>
    <t>Memory and storage peers (used in the median)</t>
  </si>
  <si>
    <t>Broader semiconductors (reference only, not in the median)</t>
  </si>
  <si>
    <t>Median</t>
  </si>
  <si>
    <t>25th percentile</t>
  </si>
  <si>
    <t>75th percentile</t>
  </si>
  <si>
    <t>DRAM makers only (Samsung, SK hynix): average</t>
  </si>
  <si>
    <t>Micron (same 15-Sep-2026 price; multiples from the Model tab)</t>
  </si>
  <si>
    <t>Micron (MU): trailing, FY2025</t>
  </si>
  <si>
    <t>Micron (MU): current, FY2026E</t>
  </si>
  <si>
    <t>Micron (MU): forward, FY2027E (live case)</t>
  </si>
  <si>
    <t>What peer multiples imply for Micron (applied to FY2026E, the year closest to the peers' LTM)</t>
  </si>
  <si>
    <t>Method</t>
  </si>
  <si>
    <t>Multiple</t>
  </si>
  <si>
    <t>Micron FY2026E ($M)</t>
  </si>
  <si>
    <t>Implied EV ($M)</t>
  </si>
  <si>
    <t>Implied equity ($M)</t>
  </si>
  <si>
    <t>vs. price</t>
  </si>
  <si>
    <t>EV / EBITDA: peer median x FY2026E EBITDA</t>
  </si>
  <si>
    <t>EV / EBITDA: DRAM makers' average x FY2026E EBITDA</t>
  </si>
  <si>
    <t>P / E: peer median x FY2026E net income</t>
  </si>
  <si>
    <t>n.a.</t>
  </si>
  <si>
    <t>P / B: peer median x FY2026E book equity</t>
  </si>
  <si>
    <t>DCF base case (perpetuity growth), for comparison</t>
  </si>
  <si>
    <t>Reading it</t>
  </si>
  <si>
    <t>Peer financials are local-currency figures converted at one 15-Sep-2026 spot rate; multiples are currency-free (calculated in local currency), so the FX rate only affects the US$ columns.</t>
  </si>
  <si>
    <t>Scenarios and Sensitivities</t>
  </si>
  <si>
    <t>Bear, Base and Bull are recorded by setting the scenario switch (Assumptions D7) to each case and pasting the live column as values. Column J is live and follows the switch; column K shows it still matches the recorded case.</t>
  </si>
  <si>
    <t>Live less recorded</t>
  </si>
  <si>
    <t>A. Valuation (DCF)</t>
  </si>
  <si>
    <t>B. The Operating Story</t>
  </si>
  <si>
    <t>C. Valuation Inputs (same in every case)</t>
  </si>
  <si>
    <t>Value per share: perpetuity growth (the answer)</t>
  </si>
  <si>
    <t>Value per share: exit multiple (cross-check)</t>
  </si>
  <si>
    <t>Upside / (downside) vs. share price, perpetuity growth</t>
  </si>
  <si>
    <t>Net cash, FY2026E (cash and investments less debt)</t>
  </si>
  <si>
    <t>Implied EV / EBITDA, FY2027E</t>
  </si>
  <si>
    <t>Implied P / B, FY2026E book equity</t>
  </si>
  <si>
    <t>Long-run growth g (computed)</t>
  </si>
  <si>
    <t>Revenue, FY2027E</t>
  </si>
  <si>
    <t>Revenue, FY2032E</t>
  </si>
  <si>
    <t>Revenue growth a year, FY2026E-FY2032E</t>
  </si>
  <si>
    <t>Gross margin, FY2032E</t>
  </si>
  <si>
    <t>EBITDA, FY2027E</t>
  </si>
  <si>
    <t>EBITDA margin, FY2032E</t>
  </si>
  <si>
    <t>Capex % of revenue, FY2027E-FY2032E average</t>
  </si>
  <si>
    <t>Unlevered free cash flow, FY2027E-FY2032E total</t>
  </si>
  <si>
    <t>Diluted EPS, FY2032E</t>
  </si>
  <si>
    <t>Exit EV / EBITDA multiple</t>
  </si>
  <si>
    <t>D. Probability Weighting and Target Price</t>
  </si>
  <si>
    <t>Target price (probability-weighted value per share, perpetuity growth)</t>
  </si>
  <si>
    <t>Upside / (downside) to target</t>
  </si>
  <si>
    <t>Rating band: Buy above</t>
  </si>
  <si>
    <t>Rating band: Sell below</t>
  </si>
  <si>
    <t>Rating</t>
  </si>
  <si>
    <t>Perpetuity growth: WACC (rows) x long-run growth g (columns)</t>
  </si>
  <si>
    <t>Exit multiple: WACC (rows) x exit EV/EBITDA (columns)</t>
  </si>
  <si>
    <t>WACC \ x</t>
  </si>
  <si>
    <t>F. Chart Data for the Executive Summary (links only)</t>
  </si>
  <si>
    <t>Exhibit 1: valuation range</t>
  </si>
  <si>
    <t>Low</t>
  </si>
  <si>
    <t>High</t>
  </si>
  <si>
    <t>Range</t>
  </si>
  <si>
    <t>DCF, perpetuity growth (Bear to Bull)</t>
  </si>
  <si>
    <t>DCF, exit multiple (Bear to Bull)</t>
  </si>
  <si>
    <t>DCF sensitivity, Base (WACC 10.5-14.5%, g 0-3%)</t>
  </si>
  <si>
    <t>Comps: DRAM makers' EV/EBITDA (Samsung to SK hynix)</t>
  </si>
  <si>
    <t>Comps: peer EV/EBITDA, 25th-75th percentile</t>
  </si>
  <si>
    <t>Comps: peer P/E, 25th-75th percentile</t>
  </si>
  <si>
    <t>Share price (15-Sep-2026) / target price</t>
  </si>
  <si>
    <t>Exhibit 3: enterprise value to equity value bridge (Base)</t>
  </si>
  <si>
    <t>Start</t>
  </si>
  <si>
    <t>Bar</t>
  </si>
  <si>
    <t>End</t>
  </si>
  <si>
    <t>PV of FCF FY27-32</t>
  </si>
  <si>
    <t>Plus: net cash</t>
  </si>
  <si>
    <t>Exhibit 4: value per share by case vs. share price</t>
  </si>
  <si>
    <t>Model Checks</t>
  </si>
  <si>
    <t>Every check should show OK. Values are the size of the error (0 = ties exactly) unless stated.</t>
  </si>
  <si>
    <t>Tolerance</t>
  </si>
  <si>
    <t>Status</t>
  </si>
  <si>
    <t>What it tests</t>
  </si>
  <si>
    <t>Raw Data (as reported, FY2021-FY2025)</t>
  </si>
  <si>
    <t>Balance sheet balances</t>
  </si>
  <si>
    <t>Total assets - total liabilities - total equity, every year</t>
  </si>
  <si>
    <t>Net income: income statement = cash flow statement</t>
  </si>
  <si>
    <t>The two statements report the same net income</t>
  </si>
  <si>
    <t>Revenue by product adds up</t>
  </si>
  <si>
    <t>DRAM + NAND + Other = total revenue</t>
  </si>
  <si>
    <t>Forecast (Schedules, Model, DCF)</t>
  </si>
  <si>
    <t>Balance sheet balances, every year</t>
  </si>
  <si>
    <t>Schedules row 361: assets - liabilities - equity, FY2022A-FY2032E</t>
  </si>
  <si>
    <t>Free cash flow: two routes agree, FY2027E-FY2032E</t>
  </si>
  <si>
    <t>Model row 32: CFO route less NOPAT route</t>
  </si>
  <si>
    <t>DCF free cash flow = Model free cash flow</t>
  </si>
  <si>
    <t>DCF row 15 equals Model row 25 in every year</t>
  </si>
  <si>
    <t>Revolver never drawn</t>
  </si>
  <si>
    <t>Cash covers every outflow, so the $2.0bn revolver stays at 0</t>
  </si>
  <si>
    <t>Valuation</t>
  </si>
  <si>
    <t>WACC weights add to 100%</t>
  </si>
  <si>
    <t>Equity weight + debt weight = 1</t>
  </si>
  <si>
    <t>Long-run growth below WACC</t>
  </si>
  <si>
    <t>Perpetuity formula only works if g &lt; WACC</t>
  </si>
  <si>
    <t>Probability weights add to 100%</t>
  </si>
  <si>
    <t>Bear + Base + Bull = 100%</t>
  </si>
  <si>
    <t>Recorded case matches the live model</t>
  </si>
  <si>
    <t>Scenarios column K: re-record the cases if this fails</t>
  </si>
  <si>
    <t>Workbook saved on the Base case</t>
  </si>
  <si>
    <t>(case)</t>
  </si>
  <si>
    <t>The Executive Summary sensitivity and Comps forward row show the live case</t>
  </si>
  <si>
    <t>Peer data complete</t>
  </si>
  <si>
    <t>(cells)</t>
  </si>
  <si>
    <t>8 peers x 9 data cells in Raw Data</t>
  </si>
  <si>
    <t>Overall</t>
  </si>
  <si>
    <t>Buy &gt; +15% · Sell &lt; -15% to target</t>
  </si>
  <si>
    <t>Probability-weighted DCF (25/50/25)</t>
  </si>
  <si>
    <t>Close, 15-Sep-2026</t>
  </si>
  <si>
    <t>Target vs. current price</t>
  </si>
  <si>
    <t>EV at target / Base FY2027E EBITDA</t>
  </si>
  <si>
    <t>See Checks tab</t>
  </si>
  <si>
    <t>Micron is earning record margins on an AI-driven memory shortage: FY2026E revenue of ~$129bn is 3.5x FY2025 and gross margin is ~80%. Memory is a commodity, and every past price spike has been followed by a collapse as new supply arrives. Our base case lets prices peak in FY2027E, fall 45% in FY2028E and keep easing, while cost per bit falls 8% a year. On that path the DCF is worth $247 a share; even the Bull case ($515) sits well below the $927.60 price. To justify today's price the market needs ~11% growth forever or a ~38x exit multiple. Rating: SELL, target = probability-weighted value.</t>
  </si>
  <si>
    <t>Exit-multiple price</t>
  </si>
  <si>
    <t>Revenue growth a year, FY2026E–FY2032E</t>
  </si>
  <si>
    <t>Capex % of sales, FY2027E–FY2032E avg.</t>
  </si>
  <si>
    <t>Value per share ($) — WACC (rows) vs. long-run growth g (columns)</t>
  </si>
  <si>
    <t>DCF of unlevered free cash flow, discounted at WACC; cross-checked with trading comparables</t>
  </si>
  <si>
    <t>Perpetuity growth on normalised FY2033E cash flow (g computed, capped at the 10-year Treasury); exit EV/EBITDA as cross-check</t>
  </si>
  <si>
    <t>Net cash</t>
  </si>
  <si>
    <t>Price line x</t>
  </si>
  <si>
    <t>Target line x</t>
  </si>
  <si>
    <t>Line y</t>
  </si>
  <si>
    <t>Same cash flows as the DCF tab; only the discount rate and the terminal assumption change. Shaded cell = the DCF tab's answer.</t>
  </si>
  <si>
    <t>Bar label</t>
  </si>
  <si>
    <t>Legend text</t>
  </si>
  <si>
    <t>Exhibit 2: EBITDA margin labels (Base)</t>
  </si>
  <si>
    <t>Exhibit 2 — Revenue (bars) and EBITDA margin (labels), FY2022A–FY2032E, 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</si>
</sst>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7" formatCode="&quot;$&quot;#,##0.00_);\(&quot;$&quot;#,##0.00\)"/>
    <numFmt numFmtId="164" formatCode="[$-409]d\-mmm\-yyyy;@"/>
    <numFmt numFmtId="165" formatCode="#,000.0"/>
    <numFmt numFmtId="166" formatCode="&quot;$&quot;#,##0.00;\(&quot;$&quot;#,##0.00\);&quot;–&quot;"/>
    <numFmt numFmtId="167" formatCode="0.0%;\(0.0%\);&quot;–&quot;"/>
    <numFmt numFmtId="168" formatCode="0.0\x;\(0.0\x\);&quot;–&quot;"/>
    <numFmt numFmtId="169" formatCode="&quot;$&quot;#,##0;\(&quot;$&quot;#,##0\);&quot;–&quot;"/>
    <numFmt numFmtId="170" formatCode="0.0%"/>
    <numFmt numFmtId="171" formatCode="#,##0;\(#,##0\);&quot;–&quot;"/>
    <numFmt numFmtId="172" formatCode="dd\-mmm\-yyyy"/>
    <numFmt numFmtId="173" formatCode="0.00;\(0.00\);&quot;–&quot;"/>
    <numFmt numFmtId="174" formatCode="0.00%;\(0.00%\);&quot;–&quot;"/>
    <numFmt numFmtId="175" formatCode="&quot;$&quot;0,000.0"/>
    <numFmt numFmtId="176" formatCode="0.0%_);\(0.0%\)"/>
    <numFmt numFmtId="177" formatCode="#,##0.0_);\(#,##0.0\)"/>
    <numFmt numFmtId="178" formatCode="0.0"/>
    <numFmt numFmtId="179" formatCode="&quot;$&quot;0.00"/>
    <numFmt numFmtId="180" formatCode="0,000"/>
    <numFmt numFmtId="181" formatCode="0.00%_);\(0.00%\)"/>
    <numFmt numFmtId="182" formatCode="0.00_);\(0.00\)"/>
    <numFmt numFmtId="183" formatCode="0.0000_);\(0.0000\)"/>
    <numFmt numFmtId="184" formatCode="#,##0.00;\(#,##0.00\);&quot;–&quot;"/>
    <numFmt numFmtId="185" formatCode="#,##0.0;\(#,##0.0\);&quot;–&quot;"/>
    <numFmt numFmtId="186" formatCode="0.0&quot;x&quot;_);\(0.0&quot;x&quot;\)"/>
    <numFmt numFmtId="187" formatCode="0.00&quot;x&quot;_);\(0.00&quot;x&quot;\)"/>
    <numFmt numFmtId="188" formatCode="0.00\x;\(0.00\x\);&quot;–&quot;"/>
  </numFmts>
  <fonts count="5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Segoe UI"/>
      <family val="2"/>
    </font>
    <font>
      <sz val="9"/>
      <color rgb="FFF0EFEC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2" tint="-0.74999237037263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05496"/>
      <name val="Calibri"/>
      <family val="2"/>
      <scheme val="minor"/>
    </font>
    <font>
      <b/>
      <sz val="10"/>
      <color rgb="FF30549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Segoe UI"/>
      <family val="2"/>
    </font>
    <font>
      <sz val="10"/>
      <color theme="4" tint="-0.249977111117893"/>
      <name val="Segoe UI"/>
      <family val="2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rgb="FF59595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305496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b/>
      <i/>
      <sz val="9"/>
      <color rgb="FFFFFFFF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10"/>
      <color rgb="FF009B73"/>
      <name val="Calibri"/>
      <family val="2"/>
      <scheme val="minor"/>
    </font>
    <font>
      <sz val="10"/>
      <color rgb="FF009B7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charset val="1"/>
    </font>
    <font>
      <i/>
      <sz val="9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9B73"/>
      <name val="Calibri"/>
      <family val="2"/>
      <scheme val="minor"/>
    </font>
    <font>
      <sz val="10"/>
      <color rgb="FF595959"/>
      <name val="Calibri"/>
      <family val="2"/>
      <scheme val="minor"/>
    </font>
    <font>
      <sz val="8"/>
      <color rgb="FF59595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D3EA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EDEDED"/>
      </bottom>
      <diagonal/>
    </border>
    <border>
      <left/>
      <right/>
      <top style="thin">
        <color rgb="FFBFBFBF"/>
      </top>
      <bottom style="thin">
        <color rgb="FFEDEDED"/>
      </bottom>
      <diagonal/>
    </border>
    <border>
      <left/>
      <right style="thin">
        <color rgb="FFBFBFBF"/>
      </right>
      <top style="thin">
        <color rgb="FFBFBFBF"/>
      </top>
      <bottom style="thin">
        <color rgb="FFEDEDED"/>
      </bottom>
      <diagonal/>
    </border>
    <border>
      <left style="thin">
        <color rgb="FFBFBFBF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BFBFBF"/>
      </right>
      <top style="thin">
        <color rgb="FFEDEDED"/>
      </top>
      <bottom style="thin">
        <color rgb="FFEDEDED"/>
      </bottom>
      <diagonal/>
    </border>
    <border>
      <left style="thin">
        <color rgb="FFBFBFBF"/>
      </left>
      <right/>
      <top style="thin">
        <color rgb="FFEDEDED"/>
      </top>
      <bottom style="thin">
        <color rgb="FFBFBFBF"/>
      </bottom>
      <diagonal/>
    </border>
    <border>
      <left/>
      <right/>
      <top style="thin">
        <color rgb="FFEDEDED"/>
      </top>
      <bottom style="thin">
        <color rgb="FFBFBFBF"/>
      </bottom>
      <diagonal/>
    </border>
    <border>
      <left/>
      <right style="thin">
        <color rgb="FFBFBFBF"/>
      </right>
      <top style="thin">
        <color rgb="FFEDEDED"/>
      </top>
      <bottom style="thin">
        <color rgb="FFBFBFBF"/>
      </bottom>
      <diagonal/>
    </border>
    <border>
      <left style="thin">
        <color rgb="FFBFBFBF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BFBFBF"/>
      </right>
      <top style="thin">
        <color rgb="FFEDEDED"/>
      </top>
      <bottom/>
      <diagonal/>
    </border>
    <border>
      <left style="thin">
        <color rgb="FFBFBFBF"/>
      </left>
      <right/>
      <top/>
      <bottom style="thin">
        <color rgb="FFEDEDED"/>
      </bottom>
      <diagonal/>
    </border>
    <border>
      <left/>
      <right style="thin">
        <color rgb="FFBFBFBF"/>
      </right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BFBFB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rgb="FFBFBFBF"/>
      </left>
      <right/>
      <top/>
      <bottom style="medium">
        <color rgb="FF21A366"/>
      </bottom>
      <diagonal/>
    </border>
    <border>
      <left/>
      <right/>
      <top style="thin">
        <color rgb="FFBFBFBF"/>
      </top>
      <bottom style="medium">
        <color rgb="FF21A366"/>
      </bottom>
      <diagonal/>
    </border>
    <border>
      <left/>
      <right/>
      <top/>
      <bottom style="medium">
        <color rgb="FF21A366"/>
      </bottom>
      <diagonal/>
    </border>
    <border>
      <left/>
      <right style="thin">
        <color rgb="FFBFBFBF"/>
      </right>
      <top/>
      <bottom style="medium">
        <color rgb="FF21A366"/>
      </bottom>
      <diagonal/>
    </border>
    <border>
      <left style="thin">
        <color rgb="FFBFBFBF"/>
      </left>
      <right/>
      <top style="thin">
        <color rgb="FFBFBFBF"/>
      </top>
      <bottom style="medium">
        <color rgb="FF21A366"/>
      </bottom>
      <diagonal/>
    </border>
    <border>
      <left/>
      <right/>
      <top style="medium">
        <color rgb="FFFFFFFF"/>
      </top>
      <bottom style="medium">
        <color rgb="FF21A36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EDEDE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/>
    <xf numFmtId="0" fontId="8" fillId="0" borderId="0" xfId="0" applyFont="1"/>
    <xf numFmtId="164" fontId="8" fillId="0" borderId="0" xfId="0" applyNumberFormat="1" applyFont="1" applyAlignment="1">
      <alignment horizontal="left"/>
    </xf>
    <xf numFmtId="0" fontId="11" fillId="0" borderId="0" xfId="0" applyFont="1"/>
    <xf numFmtId="0" fontId="5" fillId="2" borderId="5" xfId="0" applyFont="1" applyFill="1" applyBorder="1"/>
    <xf numFmtId="164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8" fillId="2" borderId="6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4" fillId="2" borderId="6" xfId="0" applyFont="1" applyFill="1" applyBorder="1"/>
    <xf numFmtId="0" fontId="15" fillId="2" borderId="1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left" vertical="top" wrapText="1"/>
    </xf>
    <xf numFmtId="0" fontId="15" fillId="2" borderId="8" xfId="0" applyFont="1" applyFill="1" applyBorder="1" applyAlignment="1">
      <alignment horizontal="left" vertical="top" wrapText="1"/>
    </xf>
    <xf numFmtId="0" fontId="16" fillId="2" borderId="7" xfId="0" applyFont="1" applyFill="1" applyBorder="1" applyAlignment="1">
      <alignment horizontal="left" vertical="top" wrapText="1"/>
    </xf>
    <xf numFmtId="165" fontId="12" fillId="0" borderId="10" xfId="0" applyNumberFormat="1" applyFont="1" applyBorder="1" applyAlignment="1">
      <alignment horizontal="left"/>
    </xf>
    <xf numFmtId="0" fontId="11" fillId="0" borderId="10" xfId="0" applyFont="1" applyBorder="1"/>
    <xf numFmtId="165" fontId="11" fillId="0" borderId="10" xfId="0" applyNumberFormat="1" applyFont="1" applyBorder="1" applyAlignment="1">
      <alignment horizontal="left"/>
    </xf>
    <xf numFmtId="165" fontId="11" fillId="3" borderId="11" xfId="0" applyNumberFormat="1" applyFont="1" applyFill="1" applyBorder="1" applyAlignment="1">
      <alignment horizontal="left"/>
    </xf>
    <xf numFmtId="0" fontId="11" fillId="0" borderId="11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11" fillId="5" borderId="0" xfId="0" applyFont="1" applyFill="1"/>
    <xf numFmtId="0" fontId="11" fillId="5" borderId="0" xfId="0" applyFont="1" applyFill="1" applyBorder="1"/>
    <xf numFmtId="0" fontId="5" fillId="5" borderId="0" xfId="0" applyFont="1" applyFill="1"/>
    <xf numFmtId="0" fontId="19" fillId="6" borderId="0" xfId="0" applyFont="1" applyFill="1"/>
    <xf numFmtId="0" fontId="11" fillId="7" borderId="0" xfId="0" applyFont="1" applyFill="1" applyBorder="1"/>
    <xf numFmtId="0" fontId="11" fillId="7" borderId="12" xfId="0" applyFont="1" applyFill="1" applyBorder="1"/>
    <xf numFmtId="0" fontId="11" fillId="7" borderId="13" xfId="0" applyFont="1" applyFill="1" applyBorder="1"/>
    <xf numFmtId="0" fontId="11" fillId="7" borderId="15" xfId="0" applyFont="1" applyFill="1" applyBorder="1"/>
    <xf numFmtId="0" fontId="11" fillId="7" borderId="16" xfId="0" applyFont="1" applyFill="1" applyBorder="1"/>
    <xf numFmtId="0" fontId="11" fillId="7" borderId="18" xfId="0" applyFont="1" applyFill="1" applyBorder="1"/>
    <xf numFmtId="0" fontId="11" fillId="7" borderId="19" xfId="0" applyFont="1" applyFill="1" applyBorder="1"/>
    <xf numFmtId="0" fontId="11" fillId="7" borderId="20" xfId="0" applyFont="1" applyFill="1" applyBorder="1"/>
    <xf numFmtId="0" fontId="0" fillId="0" borderId="0" xfId="0" applyBorder="1"/>
    <xf numFmtId="0" fontId="9" fillId="7" borderId="21" xfId="0" applyFont="1" applyFill="1" applyBorder="1"/>
    <xf numFmtId="0" fontId="9" fillId="7" borderId="23" xfId="0" applyFont="1" applyFill="1" applyBorder="1"/>
    <xf numFmtId="167" fontId="9" fillId="7" borderId="22" xfId="0" applyNumberFormat="1" applyFont="1" applyFill="1" applyBorder="1"/>
    <xf numFmtId="169" fontId="9" fillId="7" borderId="22" xfId="0" applyNumberFormat="1" applyFont="1" applyFill="1" applyBorder="1"/>
    <xf numFmtId="166" fontId="9" fillId="7" borderId="22" xfId="0" applyNumberFormat="1" applyFont="1" applyFill="1" applyBorder="1"/>
    <xf numFmtId="168" fontId="9" fillId="7" borderId="22" xfId="0" applyNumberFormat="1" applyFont="1" applyFill="1" applyBorder="1"/>
    <xf numFmtId="0" fontId="11" fillId="7" borderId="27" xfId="0" applyFont="1" applyFill="1" applyBorder="1"/>
    <xf numFmtId="0" fontId="11" fillId="7" borderId="28" xfId="0" applyFont="1" applyFill="1" applyBorder="1"/>
    <xf numFmtId="0" fontId="11" fillId="7" borderId="29" xfId="0" applyFont="1" applyFill="1" applyBorder="1"/>
    <xf numFmtId="0" fontId="11" fillId="7" borderId="30" xfId="0" applyFont="1" applyFill="1" applyBorder="1"/>
    <xf numFmtId="0" fontId="11" fillId="7" borderId="31" xfId="0" applyFont="1" applyFill="1" applyBorder="1"/>
    <xf numFmtId="0" fontId="10" fillId="8" borderId="24" xfId="0" applyFont="1" applyFill="1" applyBorder="1"/>
    <xf numFmtId="169" fontId="11" fillId="7" borderId="28" xfId="0" applyNumberFormat="1" applyFont="1" applyFill="1" applyBorder="1"/>
    <xf numFmtId="167" fontId="11" fillId="7" borderId="28" xfId="0" applyNumberFormat="1" applyFont="1" applyFill="1" applyBorder="1"/>
    <xf numFmtId="0" fontId="21" fillId="7" borderId="27" xfId="0" applyFont="1" applyFill="1" applyBorder="1"/>
    <xf numFmtId="0" fontId="21" fillId="7" borderId="28" xfId="0" applyFont="1" applyFill="1" applyBorder="1"/>
    <xf numFmtId="167" fontId="21" fillId="7" borderId="28" xfId="0" applyNumberFormat="1" applyFont="1" applyFill="1" applyBorder="1"/>
    <xf numFmtId="167" fontId="21" fillId="7" borderId="29" xfId="0" applyNumberFormat="1" applyFont="1" applyFill="1" applyBorder="1"/>
    <xf numFmtId="0" fontId="22" fillId="7" borderId="22" xfId="0" applyFont="1" applyFill="1" applyBorder="1" applyAlignment="1">
      <alignment horizontal="center"/>
    </xf>
    <xf numFmtId="167" fontId="13" fillId="7" borderId="22" xfId="0" applyNumberFormat="1" applyFont="1" applyFill="1" applyBorder="1"/>
    <xf numFmtId="0" fontId="20" fillId="7" borderId="14" xfId="0" applyFont="1" applyFill="1" applyBorder="1"/>
    <xf numFmtId="0" fontId="10" fillId="8" borderId="17" xfId="0" applyFont="1" applyFill="1" applyBorder="1" applyAlignment="1">
      <alignment horizontal="center"/>
    </xf>
    <xf numFmtId="166" fontId="11" fillId="7" borderId="17" xfId="0" applyNumberFormat="1" applyFont="1" applyFill="1" applyBorder="1"/>
    <xf numFmtId="166" fontId="9" fillId="4" borderId="17" xfId="0" applyNumberFormat="1" applyFont="1" applyFill="1" applyBorder="1"/>
    <xf numFmtId="0" fontId="10" fillId="7" borderId="14" xfId="0" applyFont="1" applyFill="1" applyBorder="1"/>
    <xf numFmtId="0" fontId="20" fillId="5" borderId="0" xfId="0" applyFont="1" applyFill="1"/>
    <xf numFmtId="0" fontId="10" fillId="8" borderId="24" xfId="0" applyFont="1" applyFill="1" applyBorder="1" applyAlignment="1">
      <alignment horizontal="left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9" fillId="7" borderId="27" xfId="0" applyFont="1" applyFill="1" applyBorder="1"/>
    <xf numFmtId="0" fontId="10" fillId="8" borderId="26" xfId="0" applyFont="1" applyFill="1" applyBorder="1"/>
    <xf numFmtId="0" fontId="20" fillId="7" borderId="28" xfId="0" applyFont="1" applyFill="1" applyBorder="1" applyAlignment="1">
      <alignment horizontal="center"/>
    </xf>
    <xf numFmtId="0" fontId="11" fillId="7" borderId="33" xfId="0" applyFont="1" applyFill="1" applyBorder="1"/>
    <xf numFmtId="169" fontId="11" fillId="7" borderId="34" xfId="0" applyNumberFormat="1" applyFont="1" applyFill="1" applyBorder="1"/>
    <xf numFmtId="167" fontId="11" fillId="7" borderId="34" xfId="0" applyNumberFormat="1" applyFont="1" applyFill="1" applyBorder="1"/>
    <xf numFmtId="0" fontId="11" fillId="7" borderId="35" xfId="0" applyFont="1" applyFill="1" applyBorder="1"/>
    <xf numFmtId="0" fontId="20" fillId="7" borderId="34" xfId="0" applyFont="1" applyFill="1" applyBorder="1" applyAlignment="1">
      <alignment horizontal="center"/>
    </xf>
    <xf numFmtId="0" fontId="24" fillId="6" borderId="16" xfId="0" applyFont="1" applyFill="1" applyBorder="1"/>
    <xf numFmtId="0" fontId="24" fillId="6" borderId="0" xfId="0" applyFont="1" applyFill="1"/>
    <xf numFmtId="0" fontId="5" fillId="7" borderId="27" xfId="0" applyFont="1" applyFill="1" applyBorder="1"/>
    <xf numFmtId="0" fontId="5" fillId="7" borderId="30" xfId="0" applyFont="1" applyFill="1" applyBorder="1"/>
    <xf numFmtId="0" fontId="19" fillId="6" borderId="0" xfId="0" applyFont="1" applyFill="1" applyBorder="1"/>
    <xf numFmtId="0" fontId="24" fillId="6" borderId="0" xfId="0" applyFont="1" applyFill="1" applyBorder="1"/>
    <xf numFmtId="0" fontId="11" fillId="7" borderId="36" xfId="0" applyFont="1" applyFill="1" applyBorder="1"/>
    <xf numFmtId="0" fontId="11" fillId="7" borderId="38" xfId="0" applyFont="1" applyFill="1" applyBorder="1"/>
    <xf numFmtId="169" fontId="11" fillId="7" borderId="38" xfId="0" applyNumberFormat="1" applyFont="1" applyFill="1" applyBorder="1"/>
    <xf numFmtId="0" fontId="18" fillId="6" borderId="41" xfId="0" applyFont="1" applyFill="1" applyBorder="1"/>
    <xf numFmtId="0" fontId="5" fillId="7" borderId="36" xfId="0" applyFont="1" applyFill="1" applyBorder="1"/>
    <xf numFmtId="0" fontId="18" fillId="6" borderId="45" xfId="0" applyFont="1" applyFill="1" applyBorder="1"/>
    <xf numFmtId="49" fontId="18" fillId="6" borderId="42" xfId="0" applyNumberFormat="1" applyFont="1" applyFill="1" applyBorder="1" applyAlignment="1">
      <alignment horizontal="center"/>
    </xf>
    <xf numFmtId="49" fontId="18" fillId="6" borderId="46" xfId="0" applyNumberFormat="1" applyFont="1" applyFill="1" applyBorder="1" applyAlignment="1">
      <alignment horizontal="center"/>
    </xf>
    <xf numFmtId="49" fontId="18" fillId="6" borderId="43" xfId="0" applyNumberFormat="1" applyFont="1" applyFill="1" applyBorder="1" applyAlignment="1">
      <alignment horizontal="center"/>
    </xf>
    <xf numFmtId="49" fontId="18" fillId="6" borderId="44" xfId="0" applyNumberFormat="1" applyFont="1" applyFill="1" applyBorder="1" applyAlignment="1">
      <alignment horizontal="center"/>
    </xf>
    <xf numFmtId="0" fontId="25" fillId="6" borderId="42" xfId="0" applyFont="1" applyFill="1" applyBorder="1"/>
    <xf numFmtId="0" fontId="2" fillId="9" borderId="0" xfId="0" applyFont="1" applyFill="1" applyAlignment="1">
      <alignment horizontal="centerContinuous"/>
    </xf>
    <xf numFmtId="0" fontId="6" fillId="9" borderId="0" xfId="0" applyFont="1" applyFill="1" applyAlignment="1">
      <alignment horizontal="centerContinuous"/>
    </xf>
    <xf numFmtId="164" fontId="6" fillId="9" borderId="0" xfId="0" applyNumberFormat="1" applyFont="1" applyFill="1" applyAlignment="1">
      <alignment horizontal="centerContinuous"/>
    </xf>
    <xf numFmtId="0" fontId="1" fillId="9" borderId="0" xfId="0" applyFont="1" applyFill="1" applyAlignment="1">
      <alignment horizontal="centerContinuous"/>
    </xf>
    <xf numFmtId="0" fontId="17" fillId="9" borderId="0" xfId="0" applyFont="1" applyFill="1" applyAlignment="1">
      <alignment horizontal="centerContinuous"/>
    </xf>
    <xf numFmtId="0" fontId="18" fillId="9" borderId="0" xfId="0" applyFont="1" applyFill="1" applyAlignment="1">
      <alignment horizontal="centerContinuous"/>
    </xf>
    <xf numFmtId="0" fontId="17" fillId="9" borderId="0" xfId="0" applyFont="1" applyFill="1"/>
    <xf numFmtId="0" fontId="0" fillId="7" borderId="0" xfId="0" applyFont="1" applyFill="1"/>
    <xf numFmtId="0" fontId="5" fillId="7" borderId="0" xfId="0" applyFont="1" applyFill="1"/>
    <xf numFmtId="0" fontId="5" fillId="5" borderId="0" xfId="0" applyFont="1" applyFill="1" applyBorder="1"/>
    <xf numFmtId="0" fontId="5" fillId="5" borderId="13" xfId="0" applyFont="1" applyFill="1" applyBorder="1"/>
    <xf numFmtId="0" fontId="26" fillId="7" borderId="0" xfId="0" applyFont="1" applyFill="1"/>
    <xf numFmtId="0" fontId="6" fillId="7" borderId="0" xfId="0" applyFont="1" applyFill="1"/>
    <xf numFmtId="0" fontId="5" fillId="7" borderId="38" xfId="0" applyFont="1" applyFill="1" applyBorder="1"/>
    <xf numFmtId="169" fontId="26" fillId="7" borderId="38" xfId="0" applyNumberFormat="1" applyFont="1" applyFill="1" applyBorder="1"/>
    <xf numFmtId="0" fontId="27" fillId="7" borderId="0" xfId="0" applyFont="1" applyFill="1"/>
    <xf numFmtId="0" fontId="5" fillId="7" borderId="0" xfId="0" applyFont="1" applyFill="1" applyBorder="1"/>
    <xf numFmtId="169" fontId="26" fillId="7" borderId="0" xfId="0" applyNumberFormat="1" applyFont="1" applyFill="1" applyBorder="1"/>
    <xf numFmtId="0" fontId="5" fillId="7" borderId="28" xfId="0" applyFont="1" applyFill="1" applyBorder="1"/>
    <xf numFmtId="169" fontId="26" fillId="7" borderId="28" xfId="0" applyNumberFormat="1" applyFont="1" applyFill="1" applyBorder="1"/>
    <xf numFmtId="0" fontId="5" fillId="7" borderId="34" xfId="0" applyFont="1" applyFill="1" applyBorder="1"/>
    <xf numFmtId="169" fontId="26" fillId="7" borderId="34" xfId="0" applyNumberFormat="1" applyFont="1" applyFill="1" applyBorder="1"/>
    <xf numFmtId="166" fontId="26" fillId="7" borderId="28" xfId="0" applyNumberFormat="1" applyFont="1" applyFill="1" applyBorder="1"/>
    <xf numFmtId="171" fontId="26" fillId="7" borderId="28" xfId="0" applyNumberFormat="1" applyFont="1" applyFill="1" applyBorder="1"/>
    <xf numFmtId="171" fontId="26" fillId="7" borderId="34" xfId="0" applyNumberFormat="1" applyFont="1" applyFill="1" applyBorder="1"/>
    <xf numFmtId="167" fontId="26" fillId="7" borderId="28" xfId="0" applyNumberFormat="1" applyFont="1" applyFill="1" applyBorder="1"/>
    <xf numFmtId="167" fontId="26" fillId="7" borderId="34" xfId="0" applyNumberFormat="1" applyFont="1" applyFill="1" applyBorder="1"/>
    <xf numFmtId="166" fontId="26" fillId="7" borderId="38" xfId="0" applyNumberFormat="1" applyFont="1" applyFill="1" applyBorder="1"/>
    <xf numFmtId="166" fontId="26" fillId="7" borderId="0" xfId="0" applyNumberFormat="1" applyFont="1" applyFill="1" applyBorder="1"/>
    <xf numFmtId="172" fontId="26" fillId="7" borderId="0" xfId="0" applyNumberFormat="1" applyFont="1" applyFill="1" applyBorder="1"/>
    <xf numFmtId="172" fontId="26" fillId="7" borderId="28" xfId="0" applyNumberFormat="1" applyFont="1" applyFill="1" applyBorder="1"/>
    <xf numFmtId="172" fontId="26" fillId="7" borderId="34" xfId="0" applyNumberFormat="1" applyFont="1" applyFill="1" applyBorder="1"/>
    <xf numFmtId="174" fontId="26" fillId="7" borderId="28" xfId="0" applyNumberFormat="1" applyFont="1" applyFill="1" applyBorder="1"/>
    <xf numFmtId="174" fontId="26" fillId="7" borderId="34" xfId="0" applyNumberFormat="1" applyFont="1" applyFill="1" applyBorder="1"/>
    <xf numFmtId="171" fontId="26" fillId="7" borderId="0" xfId="0" applyNumberFormat="1" applyFont="1" applyFill="1" applyBorder="1"/>
    <xf numFmtId="169" fontId="11" fillId="7" borderId="0" xfId="0" applyNumberFormat="1" applyFont="1" applyFill="1" applyBorder="1"/>
    <xf numFmtId="0" fontId="26" fillId="7" borderId="28" xfId="0" applyFont="1" applyFill="1" applyBorder="1"/>
    <xf numFmtId="0" fontId="26" fillId="7" borderId="34" xfId="0" applyFont="1" applyFill="1" applyBorder="1"/>
    <xf numFmtId="0" fontId="21" fillId="7" borderId="0" xfId="0" applyFont="1" applyFill="1"/>
    <xf numFmtId="0" fontId="0" fillId="5" borderId="0" xfId="0" applyFont="1" applyFill="1" applyBorder="1"/>
    <xf numFmtId="0" fontId="5" fillId="7" borderId="12" xfId="0" applyFont="1" applyFill="1" applyBorder="1"/>
    <xf numFmtId="169" fontId="26" fillId="7" borderId="12" xfId="0" applyNumberFormat="1" applyFont="1" applyFill="1" applyBorder="1"/>
    <xf numFmtId="171" fontId="11" fillId="7" borderId="28" xfId="0" applyNumberFormat="1" applyFont="1" applyFill="1" applyBorder="1"/>
    <xf numFmtId="0" fontId="26" fillId="7" borderId="12" xfId="0" applyFont="1" applyFill="1" applyBorder="1"/>
    <xf numFmtId="171" fontId="26" fillId="7" borderId="12" xfId="0" applyNumberFormat="1" applyFont="1" applyFill="1" applyBorder="1"/>
    <xf numFmtId="0" fontId="9" fillId="8" borderId="12" xfId="0" applyFont="1" applyFill="1" applyBorder="1"/>
    <xf numFmtId="49" fontId="9" fillId="8" borderId="12" xfId="0" applyNumberFormat="1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7" xfId="0" applyFont="1" applyFill="1" applyBorder="1"/>
    <xf numFmtId="49" fontId="9" fillId="8" borderId="12" xfId="0" applyNumberFormat="1" applyFont="1" applyFill="1" applyBorder="1"/>
    <xf numFmtId="0" fontId="19" fillId="6" borderId="13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vertical="center"/>
    </xf>
    <xf numFmtId="164" fontId="26" fillId="7" borderId="0" xfId="0" applyNumberFormat="1" applyFont="1" applyFill="1" applyAlignment="1">
      <alignment horizontal="left"/>
    </xf>
    <xf numFmtId="0" fontId="19" fillId="6" borderId="0" xfId="0" applyFont="1" applyFill="1" applyAlignment="1">
      <alignment vertical="center"/>
    </xf>
    <xf numFmtId="49" fontId="9" fillId="8" borderId="47" xfId="0" applyNumberFormat="1" applyFont="1" applyFill="1" applyBorder="1" applyAlignment="1">
      <alignment horizontal="center"/>
    </xf>
    <xf numFmtId="0" fontId="9" fillId="8" borderId="47" xfId="0" applyFont="1" applyFill="1" applyBorder="1" applyAlignment="1">
      <alignment horizontal="center"/>
    </xf>
    <xf numFmtId="0" fontId="5" fillId="7" borderId="12" xfId="0" applyFont="1" applyFill="1" applyBorder="1" applyAlignment="1">
      <alignment indent="2"/>
    </xf>
    <xf numFmtId="0" fontId="5" fillId="7" borderId="28" xfId="0" applyFont="1" applyFill="1" applyBorder="1" applyAlignment="1">
      <alignment indent="2"/>
    </xf>
    <xf numFmtId="0" fontId="5" fillId="7" borderId="34" xfId="0" applyFont="1" applyFill="1" applyBorder="1" applyAlignment="1">
      <alignment indent="2"/>
    </xf>
    <xf numFmtId="0" fontId="6" fillId="7" borderId="9" xfId="0" applyFont="1" applyFill="1" applyBorder="1"/>
    <xf numFmtId="169" fontId="28" fillId="7" borderId="9" xfId="0" applyNumberFormat="1" applyFont="1" applyFill="1" applyBorder="1"/>
    <xf numFmtId="169" fontId="9" fillId="7" borderId="9" xfId="0" applyNumberFormat="1" applyFont="1" applyFill="1" applyBorder="1"/>
    <xf numFmtId="0" fontId="6" fillId="7" borderId="9" xfId="0" applyFont="1" applyFill="1" applyBorder="1" applyAlignment="1">
      <alignment indent="1"/>
    </xf>
    <xf numFmtId="0" fontId="6" fillId="7" borderId="48" xfId="0" applyFont="1" applyFill="1" applyBorder="1" applyAlignment="1">
      <alignment indent="1"/>
    </xf>
    <xf numFmtId="0" fontId="6" fillId="7" borderId="48" xfId="0" applyFont="1" applyFill="1" applyBorder="1"/>
    <xf numFmtId="169" fontId="28" fillId="7" borderId="48" xfId="0" applyNumberFormat="1" applyFont="1" applyFill="1" applyBorder="1"/>
    <xf numFmtId="169" fontId="9" fillId="7" borderId="48" xfId="0" applyNumberFormat="1" applyFont="1" applyFill="1" applyBorder="1"/>
    <xf numFmtId="0" fontId="5" fillId="7" borderId="38" xfId="0" applyFont="1" applyFill="1" applyBorder="1" applyAlignment="1">
      <alignment indent="2"/>
    </xf>
    <xf numFmtId="0" fontId="5" fillId="7" borderId="0" xfId="0" applyFont="1" applyFill="1" applyBorder="1" applyAlignment="1">
      <alignment indent="2"/>
    </xf>
    <xf numFmtId="0" fontId="29" fillId="10" borderId="0" xfId="0" applyFont="1" applyFill="1"/>
    <xf numFmtId="0" fontId="29" fillId="10" borderId="0" xfId="0" applyFont="1" applyFill="1" applyAlignment="1"/>
    <xf numFmtId="0" fontId="29" fillId="11" borderId="0" xfId="0" applyFont="1" applyFill="1"/>
    <xf numFmtId="0" fontId="29" fillId="11" borderId="0" xfId="0" applyFont="1" applyFill="1" applyAlignment="1">
      <alignment indent="1"/>
    </xf>
    <xf numFmtId="167" fontId="26" fillId="7" borderId="0" xfId="0" applyNumberFormat="1" applyFont="1" applyFill="1" applyBorder="1"/>
    <xf numFmtId="167" fontId="11" fillId="7" borderId="0" xfId="0" applyNumberFormat="1" applyFont="1" applyFill="1" applyBorder="1"/>
    <xf numFmtId="172" fontId="28" fillId="7" borderId="9" xfId="0" applyNumberFormat="1" applyFont="1" applyFill="1" applyBorder="1"/>
    <xf numFmtId="172" fontId="28" fillId="7" borderId="48" xfId="0" applyNumberFormat="1" applyFont="1" applyFill="1" applyBorder="1"/>
    <xf numFmtId="173" fontId="26" fillId="7" borderId="0" xfId="0" applyNumberFormat="1" applyFont="1" applyFill="1" applyBorder="1"/>
    <xf numFmtId="174" fontId="26" fillId="7" borderId="0" xfId="0" applyNumberFormat="1" applyFont="1" applyFill="1" applyBorder="1"/>
    <xf numFmtId="169" fontId="26" fillId="7" borderId="34" xfId="0" applyNumberFormat="1" applyFont="1" applyFill="1" applyBorder="1" applyAlignment="1">
      <alignment wrapText="1"/>
    </xf>
    <xf numFmtId="0" fontId="2" fillId="5" borderId="0" xfId="0" applyFont="1" applyFill="1" applyBorder="1" applyAlignment="1">
      <alignment horizontal="centerContinuous"/>
    </xf>
    <xf numFmtId="0" fontId="5" fillId="5" borderId="0" xfId="0" applyFont="1" applyFill="1" applyBorder="1" applyAlignment="1">
      <alignment horizontal="centerContinuous"/>
    </xf>
    <xf numFmtId="0" fontId="0" fillId="5" borderId="0" xfId="0" applyFont="1" applyFill="1" applyBorder="1" applyAlignment="1">
      <alignment horizontal="centerContinuous"/>
    </xf>
    <xf numFmtId="0" fontId="1" fillId="5" borderId="0" xfId="0" applyFont="1" applyFill="1" applyBorder="1" applyAlignment="1">
      <alignment horizontal="centerContinuous"/>
    </xf>
    <xf numFmtId="0" fontId="21" fillId="5" borderId="13" xfId="0" applyFont="1" applyFill="1" applyBorder="1" applyAlignment="1">
      <alignment horizontal="centerContinuous"/>
    </xf>
    <xf numFmtId="0" fontId="5" fillId="5" borderId="13" xfId="0" applyFont="1" applyFill="1" applyBorder="1" applyAlignment="1">
      <alignment horizontal="centerContinuous"/>
    </xf>
    <xf numFmtId="0" fontId="0" fillId="5" borderId="13" xfId="0" applyFont="1" applyFill="1" applyBorder="1" applyAlignment="1">
      <alignment horizontal="centerContinuous"/>
    </xf>
    <xf numFmtId="37" fontId="0" fillId="0" borderId="0" xfId="0" applyNumberFormat="1"/>
    <xf numFmtId="175" fontId="26" fillId="0" borderId="0" xfId="0" applyNumberFormat="1" applyFont="1"/>
    <xf numFmtId="0" fontId="0" fillId="0" borderId="0" xfId="0"/>
    <xf numFmtId="0" fontId="29" fillId="10" borderId="0" xfId="0" applyFont="1" applyFill="1" applyBorder="1" applyAlignment="1"/>
    <xf numFmtId="0" fontId="29" fillId="10" borderId="0" xfId="0" applyFont="1" applyFill="1" applyBorder="1"/>
    <xf numFmtId="171" fontId="26" fillId="7" borderId="38" xfId="0" applyNumberFormat="1" applyFont="1" applyFill="1" applyBorder="1"/>
    <xf numFmtId="169" fontId="28" fillId="7" borderId="38" xfId="0" applyNumberFormat="1" applyFont="1" applyFill="1" applyBorder="1"/>
    <xf numFmtId="0" fontId="27" fillId="7" borderId="0" xfId="0" applyFont="1" applyFill="1" applyBorder="1"/>
    <xf numFmtId="169" fontId="26" fillId="7" borderId="49" xfId="0" applyNumberFormat="1" applyFont="1" applyFill="1" applyBorder="1"/>
    <xf numFmtId="170" fontId="26" fillId="7" borderId="0" xfId="0" applyNumberFormat="1" applyFont="1" applyFill="1" applyBorder="1"/>
    <xf numFmtId="0" fontId="0" fillId="0" borderId="0" xfId="0"/>
    <xf numFmtId="0" fontId="0" fillId="9" borderId="0" xfId="0" applyFill="1" applyAlignment="1">
      <alignment horizontal="centerContinuous"/>
    </xf>
    <xf numFmtId="0" fontId="7" fillId="9" borderId="0" xfId="0" applyFont="1" applyFill="1" applyAlignment="1">
      <alignment horizontal="centerContinuous"/>
    </xf>
    <xf numFmtId="0" fontId="5" fillId="7" borderId="0" xfId="0" applyFont="1" applyFill="1" applyBorder="1" applyAlignment="1">
      <alignment horizontal="left" wrapText="1" indent="2"/>
    </xf>
    <xf numFmtId="0" fontId="5" fillId="7" borderId="0" xfId="0" applyFont="1" applyFill="1" applyBorder="1" applyAlignment="1">
      <alignment vertical="top"/>
    </xf>
    <xf numFmtId="0" fontId="0" fillId="0" borderId="7" xfId="0" applyBorder="1"/>
    <xf numFmtId="0" fontId="5" fillId="7" borderId="50" xfId="0" applyFont="1" applyFill="1" applyBorder="1"/>
    <xf numFmtId="0" fontId="1" fillId="7" borderId="51" xfId="0" applyFont="1" applyFill="1" applyBorder="1" applyAlignment="1">
      <alignment vertical="center" indent="1"/>
    </xf>
    <xf numFmtId="0" fontId="5" fillId="7" borderId="6" xfId="0" applyFont="1" applyFill="1" applyBorder="1"/>
    <xf numFmtId="0" fontId="1" fillId="7" borderId="52" xfId="0" applyFont="1" applyFill="1" applyBorder="1" applyAlignment="1">
      <alignment vertical="center" indent="1"/>
    </xf>
    <xf numFmtId="0" fontId="6" fillId="7" borderId="0" xfId="0" applyFont="1" applyFill="1" applyBorder="1" applyAlignment="1">
      <alignment vertical="center" indent="1"/>
    </xf>
    <xf numFmtId="0" fontId="6" fillId="7" borderId="0" xfId="0" applyFont="1" applyFill="1" applyBorder="1" applyAlignment="1">
      <alignment vertical="center"/>
    </xf>
    <xf numFmtId="167" fontId="9" fillId="7" borderId="10" xfId="0" applyNumberFormat="1" applyFont="1" applyFill="1" applyBorder="1" applyAlignment="1">
      <alignment vertical="center"/>
    </xf>
    <xf numFmtId="167" fontId="26" fillId="7" borderId="53" xfId="0" applyNumberFormat="1" applyFont="1" applyFill="1" applyBorder="1"/>
    <xf numFmtId="0" fontId="5" fillId="12" borderId="0" xfId="0" applyFont="1" applyFill="1" applyBorder="1"/>
    <xf numFmtId="0" fontId="2" fillId="12" borderId="0" xfId="0" applyFont="1" applyFill="1" applyBorder="1" applyAlignment="1">
      <alignment horizontal="centerContinuous"/>
    </xf>
    <xf numFmtId="0" fontId="5" fillId="12" borderId="0" xfId="0" applyFont="1" applyFill="1" applyBorder="1" applyAlignment="1">
      <alignment horizontal="centerContinuous"/>
    </xf>
    <xf numFmtId="0" fontId="0" fillId="12" borderId="0" xfId="0" applyFont="1" applyFill="1" applyBorder="1" applyAlignment="1">
      <alignment horizontal="centerContinuous"/>
    </xf>
    <xf numFmtId="0" fontId="1" fillId="12" borderId="0" xfId="0" applyFont="1" applyFill="1" applyBorder="1" applyAlignment="1">
      <alignment horizontal="centerContinuous"/>
    </xf>
    <xf numFmtId="0" fontId="5" fillId="12" borderId="13" xfId="0" applyFont="1" applyFill="1" applyBorder="1"/>
    <xf numFmtId="0" fontId="21" fillId="12" borderId="13" xfId="0" applyFont="1" applyFill="1" applyBorder="1" applyAlignment="1">
      <alignment horizontal="centerContinuous"/>
    </xf>
    <xf numFmtId="0" fontId="5" fillId="12" borderId="13" xfId="0" applyFont="1" applyFill="1" applyBorder="1" applyAlignment="1">
      <alignment horizontal="centerContinuous"/>
    </xf>
    <xf numFmtId="0" fontId="0" fillId="12" borderId="13" xfId="0" applyFont="1" applyFill="1" applyBorder="1" applyAlignment="1">
      <alignment horizontal="centerContinuous"/>
    </xf>
    <xf numFmtId="0" fontId="28" fillId="7" borderId="52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right"/>
    </xf>
    <xf numFmtId="0" fontId="31" fillId="0" borderId="0" xfId="0" applyNumberFormat="1" applyFont="1" applyBorder="1" applyAlignment="1">
      <alignment horizontal="centerContinuous"/>
    </xf>
    <xf numFmtId="0" fontId="32" fillId="0" borderId="0" xfId="0" applyNumberFormat="1" applyFont="1" applyBorder="1" applyAlignment="1">
      <alignment horizontal="centerContinuous"/>
    </xf>
    <xf numFmtId="0" fontId="32" fillId="0" borderId="54" xfId="0" applyNumberFormat="1" applyFont="1" applyBorder="1"/>
    <xf numFmtId="0" fontId="33" fillId="0" borderId="50" xfId="0" applyNumberFormat="1" applyFont="1" applyBorder="1" applyAlignment="1">
      <alignment horizontal="centerContinuous"/>
    </xf>
    <xf numFmtId="0" fontId="11" fillId="0" borderId="50" xfId="0" applyNumberFormat="1" applyFont="1" applyBorder="1" applyAlignment="1">
      <alignment horizontal="centerContinuous"/>
    </xf>
    <xf numFmtId="0" fontId="34" fillId="0" borderId="0" xfId="0" applyNumberFormat="1" applyFont="1" applyBorder="1"/>
    <xf numFmtId="0" fontId="9" fillId="0" borderId="0" xfId="0" applyNumberFormat="1" applyFont="1" applyBorder="1"/>
    <xf numFmtId="0" fontId="11" fillId="0" borderId="0" xfId="0" applyNumberFormat="1" applyFont="1" applyBorder="1"/>
    <xf numFmtId="0" fontId="35" fillId="0" borderId="0" xfId="0" applyNumberFormat="1" applyFont="1" applyBorder="1"/>
    <xf numFmtId="176" fontId="36" fillId="0" borderId="0" xfId="0" applyNumberFormat="1" applyFont="1" applyBorder="1"/>
    <xf numFmtId="177" fontId="11" fillId="0" borderId="0" xfId="0" applyNumberFormat="1" applyFont="1" applyBorder="1"/>
    <xf numFmtId="0" fontId="30" fillId="0" borderId="0" xfId="0" applyNumberFormat="1" applyFont="1" applyBorder="1"/>
    <xf numFmtId="37" fontId="9" fillId="0" borderId="55" xfId="0" applyNumberFormat="1" applyFont="1" applyBorder="1"/>
    <xf numFmtId="176" fontId="11" fillId="0" borderId="0" xfId="0" applyNumberFormat="1" applyFont="1" applyBorder="1"/>
    <xf numFmtId="0" fontId="11" fillId="0" borderId="56" xfId="0" applyNumberFormat="1" applyFont="1" applyBorder="1"/>
    <xf numFmtId="5" fontId="9" fillId="0" borderId="55" xfId="0" applyNumberFormat="1" applyFont="1" applyBorder="1"/>
    <xf numFmtId="0" fontId="11" fillId="0" borderId="50" xfId="0" applyNumberFormat="1" applyFont="1" applyBorder="1"/>
    <xf numFmtId="37" fontId="11" fillId="0" borderId="0" xfId="0" applyNumberFormat="1" applyFont="1" applyBorder="1"/>
    <xf numFmtId="37" fontId="37" fillId="0" borderId="0" xfId="0" applyNumberFormat="1" applyFont="1" applyBorder="1"/>
    <xf numFmtId="7" fontId="11" fillId="0" borderId="0" xfId="0" applyNumberFormat="1" applyFont="1" applyBorder="1"/>
    <xf numFmtId="49" fontId="9" fillId="0" borderId="0" xfId="0" applyNumberFormat="1" applyFont="1" applyBorder="1" applyAlignment="1">
      <alignment horizontal="right"/>
    </xf>
    <xf numFmtId="7" fontId="37" fillId="0" borderId="0" xfId="0" applyNumberFormat="1" applyFont="1" applyBorder="1"/>
    <xf numFmtId="0" fontId="0" fillId="0" borderId="0" xfId="0"/>
    <xf numFmtId="177" fontId="26" fillId="0" borderId="0" xfId="0" applyNumberFormat="1" applyFont="1" applyBorder="1"/>
    <xf numFmtId="0" fontId="0" fillId="0" borderId="0" xfId="0"/>
    <xf numFmtId="0" fontId="0" fillId="0" borderId="0" xfId="0"/>
    <xf numFmtId="0" fontId="40" fillId="0" borderId="0" xfId="0" applyFont="1"/>
    <xf numFmtId="0" fontId="0" fillId="0" borderId="0" xfId="0" applyFont="1"/>
    <xf numFmtId="177" fontId="26" fillId="0" borderId="0" xfId="0" applyNumberFormat="1" applyFont="1" applyBorder="1" applyAlignment="1">
      <alignment horizontal="right"/>
    </xf>
    <xf numFmtId="178" fontId="26" fillId="0" borderId="0" xfId="0" applyNumberFormat="1" applyFont="1" applyAlignment="1">
      <alignment horizontal="right"/>
    </xf>
    <xf numFmtId="178" fontId="5" fillId="0" borderId="0" xfId="0" applyNumberFormat="1" applyFont="1"/>
    <xf numFmtId="0" fontId="9" fillId="0" borderId="57" xfId="0" applyNumberFormat="1" applyFont="1" applyBorder="1"/>
    <xf numFmtId="0" fontId="35" fillId="0" borderId="58" xfId="0" applyNumberFormat="1" applyFont="1" applyBorder="1"/>
    <xf numFmtId="0" fontId="11" fillId="0" borderId="59" xfId="0" applyNumberFormat="1" applyFont="1" applyBorder="1" applyAlignment="1">
      <alignment horizontal="left" indent="1"/>
    </xf>
    <xf numFmtId="37" fontId="37" fillId="0" borderId="60" xfId="0" applyNumberFormat="1" applyFont="1" applyBorder="1"/>
    <xf numFmtId="0" fontId="11" fillId="0" borderId="61" xfId="0" applyNumberFormat="1" applyFont="1" applyBorder="1" applyAlignment="1">
      <alignment horizontal="left" indent="1"/>
    </xf>
    <xf numFmtId="37" fontId="37" fillId="0" borderId="62" xfId="0" applyNumberFormat="1" applyFont="1" applyBorder="1"/>
    <xf numFmtId="0" fontId="5" fillId="7" borderId="0" xfId="0" applyFont="1" applyFill="1" applyAlignment="1">
      <alignment horizontal="left" indent="2"/>
    </xf>
    <xf numFmtId="180" fontId="5" fillId="7" borderId="0" xfId="0" applyNumberFormat="1" applyFont="1" applyFill="1"/>
    <xf numFmtId="179" fontId="26" fillId="7" borderId="0" xfId="0" applyNumberFormat="1" applyFont="1" applyFill="1"/>
    <xf numFmtId="5" fontId="0" fillId="0" borderId="0" xfId="0" applyNumberFormat="1"/>
    <xf numFmtId="49" fontId="11" fillId="0" borderId="0" xfId="0" applyNumberFormat="1" applyFont="1" applyBorder="1" applyAlignment="1">
      <alignment horizontal="left" indent="1"/>
    </xf>
    <xf numFmtId="37" fontId="26" fillId="0" borderId="0" xfId="0" applyNumberFormat="1" applyFont="1" applyBorder="1"/>
    <xf numFmtId="0" fontId="0" fillId="0" borderId="0" xfId="0"/>
    <xf numFmtId="49" fontId="9" fillId="0" borderId="0" xfId="0" applyNumberFormat="1" applyFont="1" applyBorder="1" applyAlignment="1" applyProtection="1">
      <alignment horizontal="right"/>
    </xf>
    <xf numFmtId="37" fontId="37" fillId="0" borderId="0" xfId="0" applyNumberFormat="1" applyFont="1" applyFill="1" applyBorder="1"/>
    <xf numFmtId="10" fontId="5" fillId="7" borderId="0" xfId="0" applyNumberFormat="1" applyFont="1" applyFill="1"/>
    <xf numFmtId="37" fontId="28" fillId="0" borderId="55" xfId="0" applyNumberFormat="1" applyFont="1" applyBorder="1"/>
    <xf numFmtId="0" fontId="11" fillId="0" borderId="0" xfId="0" applyNumberFormat="1" applyFont="1" applyFill="1" applyBorder="1"/>
    <xf numFmtId="173" fontId="26" fillId="7" borderId="34" xfId="0" applyNumberFormat="1" applyFont="1" applyFill="1" applyBorder="1"/>
    <xf numFmtId="181" fontId="11" fillId="0" borderId="0" xfId="0" applyNumberFormat="1" applyFont="1" applyBorder="1"/>
    <xf numFmtId="182" fontId="11" fillId="0" borderId="0" xfId="0" applyNumberFormat="1" applyFont="1" applyBorder="1"/>
    <xf numFmtId="181" fontId="37" fillId="0" borderId="0" xfId="0" applyNumberFormat="1" applyFont="1" applyBorder="1"/>
    <xf numFmtId="182" fontId="37" fillId="0" borderId="0" xfId="0" applyNumberFormat="1" applyFont="1" applyBorder="1"/>
    <xf numFmtId="181" fontId="26" fillId="0" borderId="0" xfId="0" applyNumberFormat="1" applyFont="1" applyBorder="1"/>
    <xf numFmtId="182" fontId="26" fillId="0" borderId="0" xfId="0" applyNumberFormat="1" applyFont="1" applyBorder="1"/>
    <xf numFmtId="181" fontId="9" fillId="0" borderId="55" xfId="0" applyNumberFormat="1" applyFont="1" applyBorder="1"/>
    <xf numFmtId="182" fontId="9" fillId="0" borderId="55" xfId="0" applyNumberFormat="1" applyFont="1" applyBorder="1"/>
    <xf numFmtId="176" fontId="37" fillId="0" borderId="0" xfId="0" applyNumberFormat="1" applyFont="1" applyBorder="1"/>
    <xf numFmtId="183" fontId="11" fillId="0" borderId="0" xfId="0" applyNumberFormat="1" applyFont="1" applyBorder="1"/>
    <xf numFmtId="7" fontId="9" fillId="0" borderId="55" xfId="0" applyNumberFormat="1" applyFont="1" applyBorder="1"/>
    <xf numFmtId="173" fontId="26" fillId="7" borderId="28" xfId="0" applyNumberFormat="1" applyFont="1" applyFill="1" applyBorder="1"/>
    <xf numFmtId="0" fontId="0" fillId="0" borderId="0" xfId="0"/>
    <xf numFmtId="0" fontId="0" fillId="0" borderId="0" xfId="0"/>
    <xf numFmtId="184" fontId="26" fillId="7" borderId="12" xfId="0" applyNumberFormat="1" applyFont="1" applyFill="1" applyBorder="1"/>
    <xf numFmtId="185" fontId="26" fillId="7" borderId="12" xfId="0" applyNumberFormat="1" applyFont="1" applyFill="1" applyBorder="1"/>
    <xf numFmtId="171" fontId="11" fillId="7" borderId="12" xfId="0" applyNumberFormat="1" applyFont="1" applyFill="1" applyBorder="1"/>
    <xf numFmtId="184" fontId="26" fillId="7" borderId="34" xfId="0" applyNumberFormat="1" applyFont="1" applyFill="1" applyBorder="1"/>
    <xf numFmtId="185" fontId="26" fillId="7" borderId="34" xfId="0" applyNumberFormat="1" applyFont="1" applyFill="1" applyBorder="1"/>
    <xf numFmtId="171" fontId="11" fillId="7" borderId="34" xfId="0" applyNumberFormat="1" applyFont="1" applyFill="1" applyBorder="1"/>
    <xf numFmtId="184" fontId="26" fillId="7" borderId="28" xfId="0" applyNumberFormat="1" applyFont="1" applyFill="1" applyBorder="1"/>
    <xf numFmtId="185" fontId="26" fillId="7" borderId="28" xfId="0" applyNumberFormat="1" applyFont="1" applyFill="1" applyBorder="1"/>
    <xf numFmtId="184" fontId="11" fillId="7" borderId="12" xfId="0" applyNumberFormat="1" applyFont="1" applyFill="1" applyBorder="1"/>
    <xf numFmtId="15" fontId="11" fillId="0" borderId="0" xfId="0" applyNumberFormat="1" applyFont="1" applyBorder="1"/>
    <xf numFmtId="0" fontId="43" fillId="0" borderId="0" xfId="0" applyFont="1"/>
    <xf numFmtId="0" fontId="9" fillId="0" borderId="0" xfId="0" applyFont="1"/>
    <xf numFmtId="0" fontId="9" fillId="0" borderId="50" xfId="0" applyFont="1" applyBorder="1" applyAlignment="1">
      <alignment horizontal="right" wrapText="1"/>
    </xf>
    <xf numFmtId="0" fontId="9" fillId="0" borderId="50" xfId="0" applyFont="1" applyBorder="1" applyAlignment="1">
      <alignment horizontal="left" wrapText="1"/>
    </xf>
    <xf numFmtId="0" fontId="44" fillId="0" borderId="0" xfId="0" applyFont="1"/>
    <xf numFmtId="0" fontId="37" fillId="0" borderId="0" xfId="0" applyFont="1"/>
    <xf numFmtId="0" fontId="26" fillId="0" borderId="0" xfId="0" applyFont="1" applyAlignment="1">
      <alignment horizontal="right"/>
    </xf>
    <xf numFmtId="39" fontId="37" fillId="0" borderId="0" xfId="0" applyNumberFormat="1" applyFont="1"/>
    <xf numFmtId="37" fontId="11" fillId="0" borderId="0" xfId="0" applyNumberFormat="1" applyFont="1"/>
    <xf numFmtId="37" fontId="37" fillId="0" borderId="0" xfId="0" applyNumberFormat="1" applyFont="1"/>
    <xf numFmtId="176" fontId="11" fillId="0" borderId="0" xfId="0" applyNumberFormat="1" applyFont="1"/>
    <xf numFmtId="186" fontId="11" fillId="0" borderId="0" xfId="0" applyNumberFormat="1" applyFont="1"/>
    <xf numFmtId="186" fontId="11" fillId="0" borderId="0" xfId="0" applyNumberFormat="1" applyFont="1" applyAlignment="1">
      <alignment horizontal="right"/>
    </xf>
    <xf numFmtId="176" fontId="9" fillId="0" borderId="0" xfId="0" applyNumberFormat="1" applyFont="1"/>
    <xf numFmtId="0" fontId="9" fillId="0" borderId="55" xfId="0" applyFont="1" applyBorder="1"/>
    <xf numFmtId="0" fontId="11" fillId="0" borderId="55" xfId="0" applyFont="1" applyBorder="1"/>
    <xf numFmtId="176" fontId="9" fillId="0" borderId="55" xfId="0" applyNumberFormat="1" applyFont="1" applyBorder="1"/>
    <xf numFmtId="186" fontId="9" fillId="0" borderId="55" xfId="0" applyNumberFormat="1" applyFont="1" applyBorder="1"/>
    <xf numFmtId="0" fontId="45" fillId="0" borderId="0" xfId="0" applyFont="1"/>
    <xf numFmtId="176" fontId="45" fillId="0" borderId="0" xfId="0" applyNumberFormat="1" applyFont="1"/>
    <xf numFmtId="186" fontId="45" fillId="0" borderId="0" xfId="0" applyNumberFormat="1" applyFont="1"/>
    <xf numFmtId="186" fontId="37" fillId="0" borderId="0" xfId="0" applyNumberFormat="1" applyFont="1"/>
    <xf numFmtId="0" fontId="28" fillId="0" borderId="0" xfId="0" applyFont="1" applyAlignment="1">
      <alignment horizontal="right"/>
    </xf>
    <xf numFmtId="39" fontId="46" fillId="0" borderId="0" xfId="0" applyNumberFormat="1" applyFont="1"/>
    <xf numFmtId="37" fontId="46" fillId="0" borderId="0" xfId="0" applyNumberFormat="1" applyFont="1"/>
    <xf numFmtId="186" fontId="46" fillId="0" borderId="0" xfId="0" applyNumberFormat="1" applyFont="1"/>
    <xf numFmtId="7" fontId="11" fillId="0" borderId="0" xfId="0" applyNumberFormat="1" applyFont="1"/>
    <xf numFmtId="0" fontId="47" fillId="0" borderId="0" xfId="0" applyFont="1" applyAlignment="1">
      <alignment horizontal="right"/>
    </xf>
    <xf numFmtId="37" fontId="46" fillId="0" borderId="55" xfId="0" applyNumberFormat="1" applyFont="1" applyBorder="1"/>
    <xf numFmtId="7" fontId="46" fillId="0" borderId="55" xfId="0" applyNumberFormat="1" applyFont="1" applyBorder="1"/>
    <xf numFmtId="176" fontId="46" fillId="0" borderId="55" xfId="0" applyNumberFormat="1" applyFont="1" applyBorder="1"/>
    <xf numFmtId="0" fontId="20" fillId="0" borderId="0" xfId="0" applyFont="1"/>
    <xf numFmtId="0" fontId="9" fillId="0" borderId="0" xfId="0" applyFont="1" applyAlignment="1">
      <alignment horizontal="right"/>
    </xf>
    <xf numFmtId="0" fontId="35" fillId="0" borderId="0" xfId="0" applyFont="1"/>
    <xf numFmtId="7" fontId="26" fillId="0" borderId="0" xfId="0" applyNumberFormat="1" applyFont="1"/>
    <xf numFmtId="7" fontId="37" fillId="0" borderId="0" xfId="0" applyNumberFormat="1" applyFont="1"/>
    <xf numFmtId="7" fontId="9" fillId="0" borderId="0" xfId="0" applyNumberFormat="1" applyFont="1"/>
    <xf numFmtId="176" fontId="26" fillId="0" borderId="0" xfId="0" applyNumberFormat="1" applyFont="1"/>
    <xf numFmtId="176" fontId="37" fillId="0" borderId="0" xfId="0" applyNumberFormat="1" applyFont="1"/>
    <xf numFmtId="37" fontId="26" fillId="0" borderId="0" xfId="0" applyNumberFormat="1" applyFont="1"/>
    <xf numFmtId="186" fontId="26" fillId="0" borderId="0" xfId="0" applyNumberFormat="1" applyFont="1"/>
    <xf numFmtId="181" fontId="11" fillId="0" borderId="0" xfId="0" applyNumberFormat="1" applyFont="1"/>
    <xf numFmtId="181" fontId="26" fillId="0" borderId="0" xfId="0" applyNumberFormat="1" applyFont="1"/>
    <xf numFmtId="181" fontId="37" fillId="0" borderId="0" xfId="0" applyNumberFormat="1" applyFont="1"/>
    <xf numFmtId="187" fontId="11" fillId="0" borderId="0" xfId="0" applyNumberFormat="1" applyFont="1"/>
    <xf numFmtId="187" fontId="26" fillId="0" borderId="0" xfId="0" applyNumberFormat="1" applyFont="1"/>
    <xf numFmtId="187" fontId="37" fillId="0" borderId="0" xfId="0" applyNumberFormat="1" applyFont="1"/>
    <xf numFmtId="0" fontId="30" fillId="0" borderId="0" xfId="0" applyFont="1"/>
    <xf numFmtId="7" fontId="28" fillId="0" borderId="0" xfId="0" applyNumberFormat="1" applyFont="1"/>
    <xf numFmtId="7" fontId="46" fillId="0" borderId="0" xfId="0" applyNumberFormat="1" applyFont="1"/>
    <xf numFmtId="0" fontId="35" fillId="0" borderId="55" xfId="0" applyFont="1" applyBorder="1"/>
    <xf numFmtId="0" fontId="45" fillId="0" borderId="0" xfId="0" applyFont="1" applyAlignment="1">
      <alignment horizontal="left"/>
    </xf>
    <xf numFmtId="181" fontId="28" fillId="0" borderId="0" xfId="0" applyNumberFormat="1" applyFont="1"/>
    <xf numFmtId="181" fontId="46" fillId="0" borderId="0" xfId="0" applyNumberFormat="1" applyFont="1"/>
    <xf numFmtId="0" fontId="10" fillId="0" borderId="50" xfId="0" applyFont="1" applyBorder="1" applyAlignment="1">
      <alignment horizontal="right"/>
    </xf>
    <xf numFmtId="181" fontId="28" fillId="0" borderId="50" xfId="0" applyNumberFormat="1" applyFont="1" applyBorder="1"/>
    <xf numFmtId="181" fontId="46" fillId="0" borderId="50" xfId="0" applyNumberFormat="1" applyFont="1" applyBorder="1"/>
    <xf numFmtId="187" fontId="28" fillId="0" borderId="50" xfId="0" applyNumberFormat="1" applyFont="1" applyBorder="1"/>
    <xf numFmtId="187" fontId="46" fillId="0" borderId="50" xfId="0" applyNumberFormat="1" applyFont="1" applyBorder="1"/>
    <xf numFmtId="181" fontId="9" fillId="0" borderId="0" xfId="0" applyNumberFormat="1" applyFont="1"/>
    <xf numFmtId="5" fontId="11" fillId="0" borderId="0" xfId="0" applyNumberFormat="1" applyFont="1"/>
    <xf numFmtId="5" fontId="9" fillId="4" borderId="0" xfId="0" applyNumberFormat="1" applyFont="1" applyFill="1"/>
    <xf numFmtId="0" fontId="45" fillId="0" borderId="50" xfId="0" applyFont="1" applyBorder="1"/>
    <xf numFmtId="0" fontId="11" fillId="0" borderId="50" xfId="0" applyFont="1" applyBorder="1"/>
    <xf numFmtId="0" fontId="9" fillId="0" borderId="50" xfId="0" applyFont="1" applyBorder="1" applyAlignment="1">
      <alignment horizontal="right"/>
    </xf>
    <xf numFmtId="39" fontId="11" fillId="0" borderId="0" xfId="0" applyNumberFormat="1" applyFont="1"/>
    <xf numFmtId="39" fontId="26" fillId="0" borderId="0" xfId="0" applyNumberFormat="1" applyFont="1"/>
    <xf numFmtId="0" fontId="44" fillId="0" borderId="55" xfId="0" applyFont="1" applyBorder="1"/>
    <xf numFmtId="0" fontId="44" fillId="0" borderId="55" xfId="0" applyFont="1" applyBorder="1" applyAlignment="1">
      <alignment horizontal="right"/>
    </xf>
    <xf numFmtId="177" fontId="11" fillId="0" borderId="0" xfId="0" applyNumberFormat="1" applyFont="1"/>
    <xf numFmtId="177" fontId="26" fillId="0" borderId="0" xfId="0" applyNumberFormat="1" applyFont="1"/>
    <xf numFmtId="169" fontId="37" fillId="7" borderId="38" xfId="0" applyNumberFormat="1" applyFont="1" applyFill="1" applyBorder="1"/>
    <xf numFmtId="169" fontId="37" fillId="7" borderId="37" xfId="0" applyNumberFormat="1" applyFont="1" applyFill="1" applyBorder="1"/>
    <xf numFmtId="167" fontId="36" fillId="7" borderId="28" xfId="0" applyNumberFormat="1" applyFont="1" applyFill="1" applyBorder="1"/>
    <xf numFmtId="167" fontId="36" fillId="7" borderId="29" xfId="0" applyNumberFormat="1" applyFont="1" applyFill="1" applyBorder="1"/>
    <xf numFmtId="169" fontId="37" fillId="7" borderId="28" xfId="0" applyNumberFormat="1" applyFont="1" applyFill="1" applyBorder="1"/>
    <xf numFmtId="169" fontId="37" fillId="7" borderId="29" xfId="0" applyNumberFormat="1" applyFont="1" applyFill="1" applyBorder="1"/>
    <xf numFmtId="166" fontId="37" fillId="7" borderId="28" xfId="0" applyNumberFormat="1" applyFont="1" applyFill="1" applyBorder="1"/>
    <xf numFmtId="166" fontId="37" fillId="7" borderId="29" xfId="0" applyNumberFormat="1" applyFont="1" applyFill="1" applyBorder="1"/>
    <xf numFmtId="168" fontId="37" fillId="7" borderId="31" xfId="0" applyNumberFormat="1" applyFont="1" applyFill="1" applyBorder="1"/>
    <xf numFmtId="168" fontId="37" fillId="7" borderId="32" xfId="0" applyNumberFormat="1" applyFont="1" applyFill="1" applyBorder="1"/>
    <xf numFmtId="167" fontId="37" fillId="7" borderId="28" xfId="0" applyNumberFormat="1" applyFont="1" applyFill="1" applyBorder="1"/>
    <xf numFmtId="168" fontId="37" fillId="7" borderId="28" xfId="0" applyNumberFormat="1" applyFont="1" applyFill="1" applyBorder="1"/>
    <xf numFmtId="167" fontId="37" fillId="7" borderId="34" xfId="0" applyNumberFormat="1" applyFont="1" applyFill="1" applyBorder="1"/>
    <xf numFmtId="169" fontId="37" fillId="7" borderId="34" xfId="0" applyNumberFormat="1" applyFont="1" applyFill="1" applyBorder="1"/>
    <xf numFmtId="166" fontId="37" fillId="7" borderId="34" xfId="0" applyNumberFormat="1" applyFont="1" applyFill="1" applyBorder="1"/>
    <xf numFmtId="168" fontId="37" fillId="7" borderId="34" xfId="0" applyNumberFormat="1" applyFont="1" applyFill="1" applyBorder="1"/>
    <xf numFmtId="174" fontId="37" fillId="7" borderId="28" xfId="0" applyNumberFormat="1" applyFont="1" applyFill="1" applyBorder="1"/>
    <xf numFmtId="188" fontId="37" fillId="7" borderId="34" xfId="0" applyNumberFormat="1" applyFont="1" applyFill="1" applyBorder="1"/>
    <xf numFmtId="10" fontId="23" fillId="8" borderId="17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/>
    </xf>
    <xf numFmtId="169" fontId="12" fillId="7" borderId="38" xfId="0" applyNumberFormat="1" applyFont="1" applyFill="1" applyBorder="1"/>
    <xf numFmtId="169" fontId="12" fillId="7" borderId="37" xfId="0" applyNumberFormat="1" applyFont="1" applyFill="1" applyBorder="1"/>
    <xf numFmtId="169" fontId="12" fillId="7" borderId="28" xfId="0" applyNumberFormat="1" applyFont="1" applyFill="1" applyBorder="1"/>
    <xf numFmtId="169" fontId="12" fillId="7" borderId="29" xfId="0" applyNumberFormat="1" applyFont="1" applyFill="1" applyBorder="1"/>
    <xf numFmtId="166" fontId="12" fillId="7" borderId="28" xfId="0" applyNumberFormat="1" applyFont="1" applyFill="1" applyBorder="1"/>
    <xf numFmtId="166" fontId="12" fillId="7" borderId="29" xfId="0" applyNumberFormat="1" applyFont="1" applyFill="1" applyBorder="1"/>
    <xf numFmtId="168" fontId="12" fillId="7" borderId="31" xfId="0" applyNumberFormat="1" applyFont="1" applyFill="1" applyBorder="1"/>
    <xf numFmtId="168" fontId="12" fillId="7" borderId="32" xfId="0" applyNumberFormat="1" applyFont="1" applyFill="1" applyBorder="1"/>
    <xf numFmtId="171" fontId="37" fillId="7" borderId="28" xfId="0" applyNumberFormat="1" applyFont="1" applyFill="1" applyBorder="1"/>
    <xf numFmtId="171" fontId="37" fillId="7" borderId="34" xfId="0" applyNumberFormat="1" applyFont="1" applyFill="1" applyBorder="1"/>
    <xf numFmtId="171" fontId="9" fillId="7" borderId="22" xfId="0" applyNumberFormat="1" applyFont="1" applyFill="1" applyBorder="1"/>
    <xf numFmtId="0" fontId="9" fillId="7" borderId="16" xfId="0" applyFont="1" applyFill="1" applyBorder="1" applyAlignment="1">
      <alignment vertical="top"/>
    </xf>
    <xf numFmtId="0" fontId="9" fillId="0" borderId="50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24" fillId="6" borderId="40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24" fillId="6" borderId="40" xfId="0" applyFont="1" applyFill="1" applyBorder="1"/>
    <xf numFmtId="0" fontId="10" fillId="8" borderId="14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168" fontId="49" fillId="0" borderId="15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48" fillId="0" borderId="15" xfId="0" applyFont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49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50" fillId="0" borderId="13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166" fontId="49" fillId="0" borderId="15" xfId="0" applyNumberFormat="1" applyFont="1" applyBorder="1" applyAlignment="1">
      <alignment horizontal="center"/>
    </xf>
    <xf numFmtId="167" fontId="49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Low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Scenarios!$D$60:$D$65</c:f>
              <c:strCache>
                <c:ptCount val="6"/>
                <c:pt idx="0">
                  <c:v>DCF, perpetuity growth (Bear to Bull)</c:v>
                </c:pt>
                <c:pt idx="1">
                  <c:v>DCF, exit multiple (Bear to Bull)</c:v>
                </c:pt>
                <c:pt idx="2">
                  <c:v>DCF sensitivity, Base (WACC 10.5-14.5%, g 0-3%)</c:v>
                </c:pt>
                <c:pt idx="3">
                  <c:v>Comps: DRAM makers' EV/EBITDA (Samsung to SK hynix)</c:v>
                </c:pt>
                <c:pt idx="4">
                  <c:v>Comps: peer EV/EBITDA, 25th-75th percentile</c:v>
                </c:pt>
                <c:pt idx="5">
                  <c:v>Comps: peer P/E, 25th-75th percentile</c:v>
                </c:pt>
              </c:strCache>
            </c:strRef>
          </c:cat>
          <c:val>
            <c:numRef>
              <c:f>Scenarios!$F$60:$F$65</c:f>
              <c:numCache>
                <c:formatCode>"$"#,##0_);\("$"#,##0\)</c:formatCode>
                <c:ptCount val="6"/>
                <c:pt idx="0">
                  <c:v>127.24045461870857</c:v>
                </c:pt>
                <c:pt idx="1">
                  <c:v>198.20868573732074</c:v>
                </c:pt>
                <c:pt idx="2">
                  <c:v>225.13317363993113</c:v>
                </c:pt>
                <c:pt idx="3">
                  <c:v>615.36156690221048</c:v>
                </c:pt>
                <c:pt idx="4">
                  <c:v>875.826303713421</c:v>
                </c:pt>
                <c:pt idx="5">
                  <c:v>964.94689192522605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C-4F1C-A8F0-5641E59C8E9F}"/>
            </c:ext>
          </c:extLst>
        </c:ser>
        <c:ser>
          <c:idx val="1"/>
          <c:order val="1"/>
          <c:tx>
            <c:v>Range</c:v>
          </c:tx>
          <c:spPr>
            <a:solidFill>
              <a:srgbClr val="002F6C"/>
            </a:solidFill>
          </c:spPr>
          <c:invertIfNegative val="0"/>
          <c:dPt>
            <c:idx val="3"/>
            <c:invertIfNegative val="0"/>
            <c:bubble3D val="0"/>
            <c:spPr>
              <a:solidFill>
                <a:srgbClr val="8FAADC"/>
              </a:solidFill>
            </c:spPr>
            <c:extLst>
              <c:ext xmlns:c16="http://schemas.microsoft.com/office/drawing/2014/chart" uri="{C3380CC4-5D6E-409C-BE32-E72D297353CC}">
                <c16:uniqueId val="{00000006-21BC-4F1C-A8F0-5641E59C8E9F}"/>
              </c:ext>
            </c:extLst>
          </c:dPt>
          <c:dPt>
            <c:idx val="4"/>
            <c:invertIfNegative val="0"/>
            <c:bubble3D val="0"/>
            <c:spPr>
              <a:solidFill>
                <a:srgbClr val="8FAADC"/>
              </a:solidFill>
            </c:spPr>
            <c:extLst>
              <c:ext xmlns:c16="http://schemas.microsoft.com/office/drawing/2014/chart" uri="{C3380CC4-5D6E-409C-BE32-E72D297353CC}">
                <c16:uniqueId val="{00000007-21BC-4F1C-A8F0-5641E59C8E9F}"/>
              </c:ext>
            </c:extLst>
          </c:dPt>
          <c:dPt>
            <c:idx val="5"/>
            <c:invertIfNegative val="0"/>
            <c:bubble3D val="0"/>
            <c:spPr>
              <a:solidFill>
                <a:srgbClr val="8FAADC"/>
              </a:solidFill>
            </c:spPr>
            <c:extLst>
              <c:ext xmlns:c16="http://schemas.microsoft.com/office/drawing/2014/chart" uri="{C3380CC4-5D6E-409C-BE32-E72D297353CC}">
                <c16:uniqueId val="{00000008-21BC-4F1C-A8F0-5641E59C8E9F}"/>
              </c:ext>
            </c:extLst>
          </c:dPt>
          <c:cat>
            <c:strRef>
              <c:f>Scenarios!$D$60:$D$65</c:f>
              <c:strCache>
                <c:ptCount val="6"/>
                <c:pt idx="0">
                  <c:v>DCF, perpetuity growth (Bear to Bull)</c:v>
                </c:pt>
                <c:pt idx="1">
                  <c:v>DCF, exit multiple (Bear to Bull)</c:v>
                </c:pt>
                <c:pt idx="2">
                  <c:v>DCF sensitivity, Base (WACC 10.5-14.5%, g 0-3%)</c:v>
                </c:pt>
                <c:pt idx="3">
                  <c:v>Comps: DRAM makers' EV/EBITDA (Samsung to SK hynix)</c:v>
                </c:pt>
                <c:pt idx="4">
                  <c:v>Comps: peer EV/EBITDA, 25th-75th percentile</c:v>
                </c:pt>
                <c:pt idx="5">
                  <c:v>Comps: peer P/E, 25th-75th percentile</c:v>
                </c:pt>
              </c:strCache>
            </c:strRef>
          </c:cat>
          <c:val>
            <c:numRef>
              <c:f>Scenarios!$H$60:$H$65</c:f>
              <c:numCache>
                <c:formatCode>"$"#,##0_);\("$"#,##0\)</c:formatCode>
                <c:ptCount val="6"/>
                <c:pt idx="0">
                  <c:v>387.84830670296753</c:v>
                </c:pt>
                <c:pt idx="1">
                  <c:v>384.36319352712928</c:v>
                </c:pt>
                <c:pt idx="2">
                  <c:v>62.634414143924317</c:v>
                </c:pt>
                <c:pt idx="3">
                  <c:v>171.3418032234315</c:v>
                </c:pt>
                <c:pt idx="4">
                  <c:v>1685.5025759339037</c:v>
                </c:pt>
                <c:pt idx="5">
                  <c:v>530.27220468526934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C-4F1C-A8F0-5641E59C8E9F}"/>
            </c:ext>
          </c:extLst>
        </c:ser>
        <c:ser>
          <c:idx val="4"/>
          <c:order val="4"/>
          <c:tx>
            <c:v>labels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5B9BD5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Scenarios!$M$60</c:f>
                  <c:strCache>
                    <c:ptCount val="1"/>
                    <c:pt idx="0">
                      <c:v>$127 – $515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40404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{7783891A-60F1-4ECF-85E4-5C5FEA2E74A4}</c15:txfldGUID>
                      <c15:f>Scenarios!$M$60</c15:f>
                      <c15:dlblFieldTableCache>
                        <c:ptCount val="1"/>
                        <c:pt idx="0">
                          <c:v>$127 – $515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4B2-409F-A729-4E57A06ADA63}"/>
                </c:ext>
              </c:extLst>
            </c:dLbl>
            <c:dLbl>
              <c:idx val="1"/>
              <c:tx>
                <c:strRef>
                  <c:f>Scenarios!$M$61</c:f>
                  <c:strCache>
                    <c:ptCount val="1"/>
                    <c:pt idx="0">
                      <c:v>$198 – $583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40404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{DFF0ED4D-DD12-4099-A561-2D33CF0A1075}</c15:txfldGUID>
                      <c15:f>Scenarios!$M$61</c15:f>
                      <c15:dlblFieldTableCache>
                        <c:ptCount val="1"/>
                        <c:pt idx="0">
                          <c:v>$198 – $583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4B2-409F-A729-4E57A06ADA63}"/>
                </c:ext>
              </c:extLst>
            </c:dLbl>
            <c:dLbl>
              <c:idx val="2"/>
              <c:tx>
                <c:strRef>
                  <c:f>Scenarios!$M$62</c:f>
                  <c:strCache>
                    <c:ptCount val="1"/>
                    <c:pt idx="0">
                      <c:v>$225 – $288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40404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{AB123403-D354-436D-8E17-C8DA4303BAB3}</c15:txfldGUID>
                      <c15:f>Scenarios!$M$62</c15:f>
                      <c15:dlblFieldTableCache>
                        <c:ptCount val="1"/>
                        <c:pt idx="0">
                          <c:v>$225 – $288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4B2-409F-A729-4E57A06ADA63}"/>
                </c:ext>
              </c:extLst>
            </c:dLbl>
            <c:dLbl>
              <c:idx val="3"/>
              <c:tx>
                <c:strRef>
                  <c:f>Scenarios!$M$63</c:f>
                  <c:strCache>
                    <c:ptCount val="1"/>
                    <c:pt idx="0">
                      <c:v>$615 – $787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40404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{72310969-8A7C-499A-A2B2-49A39064DBF7}</c15:txfldGUID>
                      <c15:f>Scenarios!$M$63</c15:f>
                      <c15:dlblFieldTableCache>
                        <c:ptCount val="1"/>
                        <c:pt idx="0">
                          <c:v>$615 – $787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4B2-409F-A729-4E57A06ADA63}"/>
                </c:ext>
              </c:extLst>
            </c:dLbl>
            <c:dLbl>
              <c:idx val="4"/>
              <c:tx>
                <c:strRef>
                  <c:f>Scenarios!$M$64</c:f>
                  <c:strCache>
                    <c:ptCount val="1"/>
                    <c:pt idx="0">
                      <c:v>$876 – $2,561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40404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{36A09E8D-906A-4919-9D79-3C5281682CEA}</c15:txfldGUID>
                      <c15:f>Scenarios!$M$64</c15:f>
                      <c15:dlblFieldTableCache>
                        <c:ptCount val="1"/>
                        <c:pt idx="0">
                          <c:v>$876 – $2,561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4B2-409F-A729-4E57A06ADA63}"/>
                </c:ext>
              </c:extLst>
            </c:dLbl>
            <c:dLbl>
              <c:idx val="5"/>
              <c:tx>
                <c:strRef>
                  <c:f>Scenarios!$M$65</c:f>
                  <c:strCache>
                    <c:ptCount val="1"/>
                    <c:pt idx="0">
                      <c:v>$965 – $1,495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404040"/>
                      </a:solidFill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{A3D82AAB-E309-4AF0-AE9D-6815DE4D84E4}</c15:txfldGUID>
                      <c15:f>Scenarios!$M$65</c15:f>
                      <c15:dlblFieldTableCache>
                        <c:ptCount val="1"/>
                        <c:pt idx="0">
                          <c:v>$965 – $1,495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4B2-409F-A729-4E57A06ADA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Scenarios!$D$60:$D$65</c:f>
              <c:strCache>
                <c:ptCount val="6"/>
                <c:pt idx="0">
                  <c:v>DCF, perpetuity growth (Bear to Bull)</c:v>
                </c:pt>
                <c:pt idx="1">
                  <c:v>DCF, exit multiple (Bear to Bull)</c:v>
                </c:pt>
                <c:pt idx="2">
                  <c:v>DCF sensitivity, Base (WACC 10.5-14.5%, g 0-3%)</c:v>
                </c:pt>
                <c:pt idx="3">
                  <c:v>Comps: DRAM makers' EV/EBITDA (Samsung to SK hynix)</c:v>
                </c:pt>
                <c:pt idx="4">
                  <c:v>Comps: peer EV/EBITDA, 25th-75th percentile</c:v>
                </c:pt>
                <c:pt idx="5">
                  <c:v>Comps: peer P/E, 25th-75th percentile</c:v>
                </c:pt>
              </c:strCache>
            </c:strRef>
          </c:cat>
          <c: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74B2-409F-A729-4E57A06AD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88657519"/>
        <c:axId val="688660399"/>
      </c:barChart>
      <c:scatterChart>
        <c:scatterStyle val="lineMarker"/>
        <c:varyColors val="0"/>
        <c:ser>
          <c:idx val="2"/>
          <c:order val="2"/>
          <c:tx>
            <c:strRef>
              <c:f>Scenarios!$N$60</c:f>
              <c:strCache>
                <c:ptCount val="1"/>
                <c:pt idx="0">
                  <c:v>Share price ($927.60)</c:v>
                </c:pt>
              </c:strCache>
            </c:strRef>
          </c:tx>
          <c:spPr>
            <a:ln w="254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Scenarios!$J$60:$J$61</c:f>
              <c:numCache>
                <c:formatCode>"$"#,##0_);\("$"#,##0\)</c:formatCode>
                <c:ptCount val="2"/>
                <c:pt idx="0">
                  <c:v>927.6</c:v>
                </c:pt>
                <c:pt idx="1">
                  <c:v>927.6</c:v>
                </c:pt>
              </c:numCache>
            </c:numRef>
          </c:xVal>
          <c:yVal>
            <c:numRef>
              <c:f>Scenarios!$L$60:$L$61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BC-4F1C-A8F0-5641E59C8E9F}"/>
            </c:ext>
          </c:extLst>
        </c:ser>
        <c:ser>
          <c:idx val="3"/>
          <c:order val="3"/>
          <c:tx>
            <c:strRef>
              <c:f>Scenarios!$N$61</c:f>
              <c:strCache>
                <c:ptCount val="1"/>
                <c:pt idx="0">
                  <c:v>Target price ($284.13)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dash"/>
            </a:ln>
          </c:spPr>
          <c:marker>
            <c:symbol val="none"/>
          </c:marker>
          <c:xVal>
            <c:numRef>
              <c:f>Scenarios!$K$60:$K$61</c:f>
              <c:numCache>
                <c:formatCode>"$"#,##0_);\("$"#,##0\)</c:formatCode>
                <c:ptCount val="2"/>
                <c:pt idx="0">
                  <c:v>284.13116163461018</c:v>
                </c:pt>
                <c:pt idx="1">
                  <c:v>284.13116163461018</c:v>
                </c:pt>
              </c:numCache>
            </c:numRef>
          </c:xVal>
          <c:yVal>
            <c:numRef>
              <c:f>Scenarios!$L$60:$L$61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1BC-4F1C-A8F0-5641E59C8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672399"/>
        <c:axId val="688674799"/>
      </c:scatterChart>
      <c:catAx>
        <c:axId val="68865751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700"/>
            </a:pPr>
            <a:endParaRPr lang="en-US"/>
          </a:p>
        </c:txPr>
        <c:crossAx val="688660399"/>
        <c:crosses val="autoZero"/>
        <c:auto val="1"/>
        <c:lblAlgn val="ctr"/>
        <c:lblOffset val="100"/>
        <c:noMultiLvlLbl val="0"/>
      </c:catAx>
      <c:valAx>
        <c:axId val="688660399"/>
        <c:scaling>
          <c:orientation val="minMax"/>
          <c:max val="3000"/>
          <c:min val="0"/>
        </c:scaling>
        <c:delete val="0"/>
        <c:axPos val="b"/>
        <c:majorGridlines>
          <c:spPr>
            <a:ln>
              <a:solidFill>
                <a:srgbClr val="E6E6E6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688657519"/>
        <c:crosses val="max"/>
        <c:crossBetween val="between"/>
        <c:majorUnit val="500"/>
      </c:valAx>
      <c:valAx>
        <c:axId val="688674799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688672399"/>
        <c:crosses val="max"/>
        <c:crossBetween val="midCat"/>
      </c:valAx>
      <c:valAx>
        <c:axId val="688672399"/>
        <c:scaling>
          <c:orientation val="minMax"/>
          <c:max val="3000"/>
          <c:min val="0"/>
        </c:scaling>
        <c:delete val="0"/>
        <c:axPos val="t"/>
        <c:numFmt formatCode="&quot;$&quot;#,##0_);\(&quot;$&quot;#,##0\)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688674799"/>
        <c:crosses val="max"/>
        <c:crossBetween val="midCat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8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($M, Base) · label = EBITDA margin</c:v>
          </c:tx>
          <c:spPr>
            <a:solidFill>
              <a:srgbClr val="002F6C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2-0574-4599-961C-BEB73A8A33A8}"/>
              </c:ext>
            </c:extLst>
          </c:dPt>
          <c:dPt>
            <c:idx val="1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3-0574-4599-961C-BEB73A8A33A8}"/>
              </c:ext>
            </c:extLst>
          </c:dPt>
          <c:dPt>
            <c:idx val="2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4-0574-4599-961C-BEB73A8A33A8}"/>
              </c:ext>
            </c:extLst>
          </c:dPt>
          <c:dPt>
            <c:idx val="3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5-0574-4599-961C-BEB73A8A33A8}"/>
              </c:ext>
            </c:extLst>
          </c:dPt>
          <c:dPt>
            <c:idx val="4"/>
            <c:invertIfNegative val="0"/>
            <c:bubble3D val="0"/>
            <c:spPr>
              <a:solidFill>
                <a:srgbClr val="A6A6A6"/>
              </a:solidFill>
            </c:spPr>
            <c:extLst>
              <c:ext xmlns:c16="http://schemas.microsoft.com/office/drawing/2014/chart" uri="{C3380CC4-5D6E-409C-BE32-E72D297353CC}">
                <c16:uniqueId val="{00000006-0574-4599-961C-BEB73A8A33A8}"/>
              </c:ext>
            </c:extLst>
          </c:dPt>
          <c:dLbls>
            <c:dLbl>
              <c:idx val="0"/>
              <c:tx>
                <c:strRef>
                  <c:f>Scenarios!$F$82</c:f>
                  <c:strCache>
                    <c:ptCount val="1"/>
                    <c:pt idx="0">
                      <c:v>55%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{CE0DAF25-BA7B-4C48-9152-F167142775BC}</c15:txfldGUID>
                      <c15:f>Scenarios!$F$82</c15:f>
                      <c15:dlblFieldTableCache>
                        <c:ptCount val="1"/>
                        <c:pt idx="0">
                          <c:v>55%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0574-4599-961C-BEB73A8A33A8}"/>
                </c:ext>
              </c:extLst>
            </c:dLbl>
            <c:dLbl>
              <c:idx val="1"/>
              <c:tx>
                <c:strRef>
                  <c:f>Scenarios!$G$82</c:f>
                  <c:strCache>
                    <c:ptCount val="1"/>
                    <c:pt idx="0">
                      <c:v>13%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{C87B4AE0-B99D-48A6-8F10-2A421F5E61B6}</c15:txfldGUID>
                      <c15:f>Scenarios!$G$82</c15:f>
                      <c15:dlblFieldTableCache>
                        <c:ptCount val="1"/>
                        <c:pt idx="0">
                          <c:v>13%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0574-4599-961C-BEB73A8A33A8}"/>
                </c:ext>
              </c:extLst>
            </c:dLbl>
            <c:dLbl>
              <c:idx val="2"/>
              <c:tx>
                <c:strRef>
                  <c:f>Scenarios!$H$82</c:f>
                  <c:strCache>
                    <c:ptCount val="1"/>
                    <c:pt idx="0">
                      <c:v>36%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{089F02E3-D008-40CA-A669-5EBFC7D3B9A3}</c15:txfldGUID>
                      <c15:f>Scenarios!$H$82</c15:f>
                      <c15:dlblFieldTableCache>
                        <c:ptCount val="1"/>
                        <c:pt idx="0">
                          <c:v>36%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574-4599-961C-BEB73A8A33A8}"/>
                </c:ext>
              </c:extLst>
            </c:dLbl>
            <c:dLbl>
              <c:idx val="3"/>
              <c:tx>
                <c:strRef>
                  <c:f>Scenarios!$I$82</c:f>
                  <c:strCache>
                    <c:ptCount val="1"/>
                    <c:pt idx="0">
                      <c:v>48%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{4CB65CB5-3C2B-4C4B-9594-FF9829F06E69}</c15:txfldGUID>
                      <c15:f>Scenarios!$I$82</c15:f>
                      <c15:dlblFieldTableCache>
                        <c:ptCount val="1"/>
                        <c:pt idx="0">
                          <c:v>48%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574-4599-961C-BEB73A8A33A8}"/>
                </c:ext>
              </c:extLst>
            </c:dLbl>
            <c:dLbl>
              <c:idx val="4"/>
              <c:tx>
                <c:strRef>
                  <c:f>Scenarios!$J$82</c:f>
                  <c:strCache>
                    <c:ptCount val="1"/>
                    <c:pt idx="0">
                      <c:v>82%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{DD16F643-E90F-4C20-B2E3-15F4424DDED6}</c15:txfldGUID>
                      <c15:f>Scenarios!$J$82</c15:f>
                      <c15:dlblFieldTableCache>
                        <c:ptCount val="1"/>
                        <c:pt idx="0">
                          <c:v>82%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574-4599-961C-BEB73A8A33A8}"/>
                </c:ext>
              </c:extLst>
            </c:dLbl>
            <c:dLbl>
              <c:idx val="5"/>
              <c:tx>
                <c:strRef>
                  <c:f>Scenarios!$K$82</c:f>
                  <c:strCache>
                    <c:ptCount val="1"/>
                    <c:pt idx="0">
                      <c:v>85%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{D8767D28-B61C-42C5-A04C-C7B501D819FF}</c15:txfldGUID>
                      <c15:f>Scenarios!$K$82</c15:f>
                      <c15:dlblFieldTableCache>
                        <c:ptCount val="1"/>
                        <c:pt idx="0">
                          <c:v>85%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9848-4CED-9747-D68DB7869000}"/>
                </c:ext>
              </c:extLst>
            </c:dLbl>
            <c:dLbl>
              <c:idx val="6"/>
              <c:tx>
                <c:strRef>
                  <c:f>Scenarios!$L$82</c:f>
                  <c:strCache>
                    <c:ptCount val="1"/>
                    <c:pt idx="0">
                      <c:v>77%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{CC1BA3B5-E250-4458-9ED7-F29AF5B5C310}</c15:txfldGUID>
                      <c15:f>Scenarios!$L$82</c15:f>
                      <c15:dlblFieldTableCache>
                        <c:ptCount val="1"/>
                        <c:pt idx="0">
                          <c:v>77%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848-4CED-9747-D68DB7869000}"/>
                </c:ext>
              </c:extLst>
            </c:dLbl>
            <c:dLbl>
              <c:idx val="7"/>
              <c:tx>
                <c:strRef>
                  <c:f>Scenarios!$M$82</c:f>
                  <c:strCache>
                    <c:ptCount val="1"/>
                    <c:pt idx="0">
                      <c:v>69%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{FF3EC3FC-65BA-4BE5-AF20-7EFE728AC539}</c15:txfldGUID>
                      <c15:f>Scenarios!$M$82</c15:f>
                      <c15:dlblFieldTableCache>
                        <c:ptCount val="1"/>
                        <c:pt idx="0">
                          <c:v>69%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848-4CED-9747-D68DB7869000}"/>
                </c:ext>
              </c:extLst>
            </c:dLbl>
            <c:dLbl>
              <c:idx val="8"/>
              <c:tx>
                <c:strRef>
                  <c:f>Scenarios!$N$82</c:f>
                  <c:strCache>
                    <c:ptCount val="1"/>
                    <c:pt idx="0">
                      <c:v>70%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{4CD42388-80A9-433D-B532-0E970B3BFE9E}</c15:txfldGUID>
                      <c15:f>Scenarios!$N$82</c15:f>
                      <c15:dlblFieldTableCache>
                        <c:ptCount val="1"/>
                        <c:pt idx="0">
                          <c:v>70%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9848-4CED-9747-D68DB7869000}"/>
                </c:ext>
              </c:extLst>
            </c:dLbl>
            <c:dLbl>
              <c:idx val="9"/>
              <c:tx>
                <c:strRef>
                  <c:f>Scenarios!$O$82</c:f>
                  <c:strCache>
                    <c:ptCount val="1"/>
                    <c:pt idx="0">
                      <c:v>69%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{3C5D675B-8D40-4902-B55F-AC6E1B855716}</c15:txfldGUID>
                      <c15:f>Scenarios!$O$82</c15:f>
                      <c15:dlblFieldTableCache>
                        <c:ptCount val="1"/>
                        <c:pt idx="0">
                          <c:v>69%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9848-4CED-9747-D68DB7869000}"/>
                </c:ext>
              </c:extLst>
            </c:dLbl>
            <c:dLbl>
              <c:idx val="10"/>
              <c:tx>
                <c:strRef>
                  <c:f>Scenarios!$P$82</c:f>
                  <c:strCache>
                    <c:ptCount val="1"/>
                    <c:pt idx="0">
                      <c:v>67%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{C5D7AAEE-F7A1-4C62-87F4-D2AC02158CE8}</c15:txfldGUID>
                      <c15:f>Scenarios!$P$82</c15:f>
                      <c15:dlblFieldTableCache>
                        <c:ptCount val="1"/>
                        <c:pt idx="0">
                          <c:v>67%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9848-4CED-9747-D68DB786900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Summary'!$D$21:$N$21</c:f>
              <c:strCache>
                <c:ptCount val="11"/>
                <c:pt idx="0">
                  <c:v>FY2022A</c:v>
                </c:pt>
                <c:pt idx="1">
                  <c:v>FY2023A</c:v>
                </c:pt>
                <c:pt idx="2">
                  <c:v>FY2024A</c:v>
                </c:pt>
                <c:pt idx="3">
                  <c:v>FY2025A</c:v>
                </c:pt>
                <c:pt idx="4">
                  <c:v>FY2026E</c:v>
                </c:pt>
                <c:pt idx="5">
                  <c:v>FY2027E</c:v>
                </c:pt>
                <c:pt idx="6">
                  <c:v>FY2028E</c:v>
                </c:pt>
                <c:pt idx="7">
                  <c:v>FY2029E</c:v>
                </c:pt>
                <c:pt idx="8">
                  <c:v>FY2030E</c:v>
                </c:pt>
                <c:pt idx="9">
                  <c:v>FY2031E</c:v>
                </c:pt>
                <c:pt idx="10">
                  <c:v>FY2032E</c:v>
                </c:pt>
              </c:strCache>
            </c:strRef>
          </c:cat>
          <c:val>
            <c:numRef>
              <c:f>'Executive Summary'!$D$22:$N$22</c:f>
              <c:numCache>
                <c:formatCode>"$"#,##0;\("$"#,##0\);"–"</c:formatCode>
                <c:ptCount val="11"/>
                <c:pt idx="0">
                  <c:v>30758</c:v>
                </c:pt>
                <c:pt idx="1">
                  <c:v>15540</c:v>
                </c:pt>
                <c:pt idx="2">
                  <c:v>25111</c:v>
                </c:pt>
                <c:pt idx="3">
                  <c:v>37378</c:v>
                </c:pt>
                <c:pt idx="4">
                  <c:v>128959</c:v>
                </c:pt>
                <c:pt idx="5">
                  <c:v>145667.61923838675</c:v>
                </c:pt>
                <c:pt idx="6">
                  <c:v>92134.769168279629</c:v>
                </c:pt>
                <c:pt idx="7">
                  <c:v>69981.931429441029</c:v>
                </c:pt>
                <c:pt idx="8">
                  <c:v>72846.274565483618</c:v>
                </c:pt>
                <c:pt idx="9">
                  <c:v>71045.641914037114</c:v>
                </c:pt>
                <c:pt idx="10">
                  <c:v>69290.759060996774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4-4599-961C-BEB73A8A3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88681519"/>
        <c:axId val="688672879"/>
      </c:barChart>
      <c:catAx>
        <c:axId val="688681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688672879"/>
        <c:crosses val="autoZero"/>
        <c:auto val="1"/>
        <c:lblAlgn val="ctr"/>
        <c:lblOffset val="100"/>
        <c:noMultiLvlLbl val="0"/>
      </c:catAx>
      <c:valAx>
        <c:axId val="688672879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688681519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8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472C4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Scenarios!$D$69:$D$73</c:f>
              <c:strCache>
                <c:ptCount val="5"/>
                <c:pt idx="0">
                  <c:v>PV of FCF FY27-32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Plus: net cash</c:v>
                </c:pt>
                <c:pt idx="4">
                  <c:v>Equity value</c:v>
                </c:pt>
              </c:strCache>
            </c:strRef>
          </c:cat>
          <c:val>
            <c:numRef>
              <c:f>Scenarios!$F$69:$F$73</c:f>
              <c:numCache>
                <c:formatCode>#,##0_);\(#,##0\)</c:formatCode>
                <c:ptCount val="5"/>
                <c:pt idx="0">
                  <c:v>0</c:v>
                </c:pt>
                <c:pt idx="1">
                  <c:v>160098.21924494195</c:v>
                </c:pt>
                <c:pt idx="2">
                  <c:v>0</c:v>
                </c:pt>
                <c:pt idx="3">
                  <c:v>238365.89130988606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A-4DC9-90B8-4E61735D397E}"/>
            </c:ext>
          </c:extLst>
        </c:ser>
        <c:ser>
          <c:idx val="1"/>
          <c:order val="1"/>
          <c:spPr>
            <a:solidFill>
              <a:srgbClr val="8FAADC"/>
            </a:solidFill>
          </c:spPr>
          <c:invertIfNegative val="0"/>
          <c:dPt>
            <c:idx val="2"/>
            <c:invertIfNegative val="0"/>
            <c:bubble3D val="0"/>
            <c:spPr>
              <a:solidFill>
                <a:srgbClr val="002F6C"/>
              </a:solidFill>
            </c:spPr>
            <c:extLst>
              <c:ext xmlns:c16="http://schemas.microsoft.com/office/drawing/2014/chart" uri="{C3380CC4-5D6E-409C-BE32-E72D297353CC}">
                <c16:uniqueId val="{00000003-8C7A-4DC9-90B8-4E61735D397E}"/>
              </c:ext>
            </c:extLst>
          </c:dPt>
          <c:dPt>
            <c:idx val="4"/>
            <c:invertIfNegative val="0"/>
            <c:bubble3D val="0"/>
            <c:spPr>
              <a:solidFill>
                <a:srgbClr val="002F6C"/>
              </a:solidFill>
            </c:spPr>
            <c:extLst>
              <c:ext xmlns:c16="http://schemas.microsoft.com/office/drawing/2014/chart" uri="{C3380CC4-5D6E-409C-BE32-E72D297353CC}">
                <c16:uniqueId val="{00000004-8C7A-4DC9-90B8-4E61735D397E}"/>
              </c:ext>
            </c:extLst>
          </c:dPt>
          <c:dLbls>
            <c:dLbl>
              <c:idx val="2"/>
              <c:numFmt formatCode="&quot;$&quot;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C7A-4DC9-90B8-4E61735D397E}"/>
                </c:ext>
              </c:extLst>
            </c:dLbl>
            <c:dLbl>
              <c:idx val="4"/>
              <c:numFmt formatCode="&quot;$&quot;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C7A-4DC9-90B8-4E61735D397E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Scenarios!$D$69:$D$73</c:f>
              <c:strCache>
                <c:ptCount val="5"/>
                <c:pt idx="0">
                  <c:v>PV of FCF FY27-32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Plus: net cash</c:v>
                </c:pt>
                <c:pt idx="4">
                  <c:v>Equity value</c:v>
                </c:pt>
              </c:strCache>
            </c:strRef>
          </c:cat>
          <c:val>
            <c:numRef>
              <c:f>Scenarios!$G$69:$G$73</c:f>
              <c:numCache>
                <c:formatCode>#,##0_);\(#,##0\)</c:formatCode>
                <c:ptCount val="5"/>
                <c:pt idx="0">
                  <c:v>160098.21924494195</c:v>
                </c:pt>
                <c:pt idx="1">
                  <c:v>78267.672064944098</c:v>
                </c:pt>
                <c:pt idx="2">
                  <c:v>238365.89130988606</c:v>
                </c:pt>
                <c:pt idx="3">
                  <c:v>45796.481283996109</c:v>
                </c:pt>
                <c:pt idx="4">
                  <c:v>284162.37259388214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7A-4DC9-90B8-4E61735D3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688676239"/>
        <c:axId val="688669999"/>
      </c:barChart>
      <c:catAx>
        <c:axId val="68867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688669999"/>
        <c:crosses val="autoZero"/>
        <c:auto val="1"/>
        <c:lblAlgn val="ctr"/>
        <c:lblOffset val="100"/>
        <c:noMultiLvlLbl val="0"/>
      </c:catAx>
      <c:valAx>
        <c:axId val="688669999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688676239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8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DCF value per share (perpetuity growth)</c:v>
          </c:tx>
          <c:spPr>
            <a:solidFill>
              <a:srgbClr val="8FAADC"/>
            </a:solidFill>
          </c:spPr>
          <c:invertIfNegative val="0"/>
          <c:dPt>
            <c:idx val="3"/>
            <c:invertIfNegative val="0"/>
            <c:bubble3D val="0"/>
            <c:spPr>
              <a:solidFill>
                <a:srgbClr val="002F6C"/>
              </a:solidFill>
            </c:spPr>
            <c:extLst>
              <c:ext xmlns:c16="http://schemas.microsoft.com/office/drawing/2014/chart" uri="{C3380CC4-5D6E-409C-BE32-E72D297353CC}">
                <c16:uniqueId val="{00000002-10FC-4FBE-A03A-11FDE1443433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Scenarios!$D$76:$D$79</c:f>
              <c:strCache>
                <c:ptCount val="4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  <c:pt idx="3">
                  <c:v>Probability-weighted</c:v>
                </c:pt>
              </c:strCache>
            </c:strRef>
          </c:cat>
          <c:val>
            <c:numRef>
              <c:f>Scenarios!$F$76:$F$79</c:f>
              <c:numCache>
                <c:formatCode>"$"#,##0_);\("$"#,##0\)</c:formatCode>
                <c:ptCount val="4"/>
                <c:pt idx="0">
                  <c:v>127.24045461870857</c:v>
                </c:pt>
                <c:pt idx="1">
                  <c:v>247.09771529902795</c:v>
                </c:pt>
                <c:pt idx="2">
                  <c:v>515.08876132167609</c:v>
                </c:pt>
                <c:pt idx="3">
                  <c:v>284.13116163461018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C-4FBE-A03A-11FDE144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8667599"/>
        <c:axId val="688679599"/>
      </c:barChart>
      <c:lineChart>
        <c:grouping val="standard"/>
        <c:varyColors val="0"/>
        <c:ser>
          <c:idx val="1"/>
          <c:order val="1"/>
          <c:tx>
            <c:v>Share price, 15-Sep-2026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Scenarios!$D$76:$D$79</c:f>
              <c:strCache>
                <c:ptCount val="4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  <c:pt idx="3">
                  <c:v>Probability-weighted</c:v>
                </c:pt>
              </c:strCache>
            </c:strRef>
          </c:cat>
          <c:val>
            <c:numRef>
              <c:f>Scenarios!$G$76:$G$79</c:f>
              <c:numCache>
                <c:formatCode>"$"#,##0_);\("$"#,##0\)</c:formatCode>
                <c:ptCount val="4"/>
                <c:pt idx="0">
                  <c:v>927.6</c:v>
                </c:pt>
                <c:pt idx="1">
                  <c:v>927.6</c:v>
                </c:pt>
                <c:pt idx="2">
                  <c:v>927.6</c:v>
                </c:pt>
                <c:pt idx="3">
                  <c:v>927.6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FC-4FBE-A03A-11FDE144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667599"/>
        <c:axId val="688679599"/>
      </c:lineChart>
      <c:catAx>
        <c:axId val="6886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8679599"/>
        <c:crosses val="autoZero"/>
        <c:auto val="1"/>
        <c:lblAlgn val="ctr"/>
        <c:lblOffset val="100"/>
        <c:noMultiLvlLbl val="0"/>
      </c:catAx>
      <c:valAx>
        <c:axId val="688679599"/>
        <c:scaling>
          <c:orientation val="minMax"/>
          <c:max val="1000"/>
          <c:min val="0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688667599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800">
          <a:solidFill>
            <a:srgbClr val="40404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fmlaLink="$D$7" fmlaRange="$C$27:$C$29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81</xdr:row>
      <xdr:rowOff>50800</xdr:rowOff>
    </xdr:from>
    <xdr:to>
      <xdr:col>6</xdr:col>
      <xdr:colOff>939800</xdr:colOff>
      <xdr:row>95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B17E4-86EB-A32F-FF09-E0FFA9BA7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81</xdr:row>
      <xdr:rowOff>50800</xdr:rowOff>
    </xdr:from>
    <xdr:to>
      <xdr:col>13</xdr:col>
      <xdr:colOff>939800</xdr:colOff>
      <xdr:row>95</xdr:row>
      <xdr:rowOff>124460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434377-C2CA-B264-7CAD-4D512F38E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50800</xdr:colOff>
      <xdr:row>98</xdr:row>
      <xdr:rowOff>50800</xdr:rowOff>
    </xdr:from>
    <xdr:to>
      <xdr:col>6</xdr:col>
      <xdr:colOff>939800</xdr:colOff>
      <xdr:row>112</xdr:row>
      <xdr:rowOff>124460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1C55C8-3D7C-27DF-E439-6F1139790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50800</xdr:colOff>
      <xdr:row>98</xdr:row>
      <xdr:rowOff>50800</xdr:rowOff>
    </xdr:from>
    <xdr:to>
      <xdr:col>13</xdr:col>
      <xdr:colOff>939800</xdr:colOff>
      <xdr:row>112</xdr:row>
      <xdr:rowOff>124460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332350-F26B-74F9-7F3B-EA8CA045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1767840</xdr:colOff>
          <xdr:row>6</xdr:row>
          <xdr:rowOff>45720</xdr:rowOff>
        </xdr:from>
        <xdr:to>
          <xdr:col>4</xdr:col>
          <xdr:colOff>533400</xdr:colOff>
          <xdr:row>6</xdr:row>
          <xdr:rowOff>251460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860F3B-2357-4140-BC23-2F59009C441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224939e-279f-48ad-a58b-410a05c54c0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75A1-8D1A-410F-9248-A6642C45B926}">
  <sheetPr>
    <tabColor theme="3"/>
  </sheetPr>
  <dimension ref="A2:C45"/>
  <sheetViews>
    <sheetView showGridLines="0" workbookViewId="0">
      <selection activeCell="H7" sqref="H7"/>
    </sheetView>
  </sheetViews>
  <sheetFormatPr defaultRowHeight="14.4" x14ac:dyDescent="0.3"/>
  <cols>
    <col min="2" max="2" width="25" customWidth="1"/>
    <col min="3" max="3" width="81.88671875" customWidth="1"/>
  </cols>
  <sheetData>
    <row r="2" spans="2:3" ht="25.8" x14ac:dyDescent="0.5">
      <c r="B2" s="98" t="s">
        <v>0</v>
      </c>
      <c r="C2" s="196"/>
    </row>
    <row r="3" spans="2:3" ht="18" x14ac:dyDescent="0.35">
      <c r="B3" s="197" t="s">
        <v>1</v>
      </c>
      <c r="C3" s="196"/>
    </row>
    <row r="4" spans="2:3" x14ac:dyDescent="0.3">
      <c r="B4" s="196"/>
      <c r="C4" s="196"/>
    </row>
    <row r="5" spans="2:3" ht="16.2" customHeight="1" x14ac:dyDescent="0.3">
      <c r="B5" s="5" t="s">
        <v>2</v>
      </c>
      <c r="C5" s="7" t="s">
        <v>3</v>
      </c>
    </row>
    <row r="6" spans="2:3" x14ac:dyDescent="0.3">
      <c r="B6" s="4" t="s">
        <v>4</v>
      </c>
      <c r="C6" s="8">
        <v>46277</v>
      </c>
    </row>
    <row r="8" spans="2:3" ht="18" x14ac:dyDescent="0.35">
      <c r="B8" s="1" t="s">
        <v>5</v>
      </c>
    </row>
    <row r="9" spans="2:3" ht="25.2" customHeight="1" x14ac:dyDescent="0.3">
      <c r="B9" s="10" t="s">
        <v>6</v>
      </c>
      <c r="C9" s="11">
        <v>46268</v>
      </c>
    </row>
    <row r="10" spans="2:3" ht="20.399999999999999" customHeight="1" x14ac:dyDescent="0.3">
      <c r="B10" s="10" t="s">
        <v>7</v>
      </c>
      <c r="C10" s="12" t="s">
        <v>8</v>
      </c>
    </row>
    <row r="11" spans="2:3" ht="28.2" customHeight="1" x14ac:dyDescent="0.3">
      <c r="B11" s="13" t="s">
        <v>15</v>
      </c>
      <c r="C11" s="14" t="s">
        <v>16</v>
      </c>
    </row>
    <row r="12" spans="2:3" ht="25.2" customHeight="1" x14ac:dyDescent="0.3">
      <c r="B12" s="15" t="s">
        <v>17</v>
      </c>
      <c r="C12" s="16" t="s">
        <v>18</v>
      </c>
    </row>
    <row r="13" spans="2:3" ht="21.6" customHeight="1" x14ac:dyDescent="0.3">
      <c r="B13" s="13" t="s">
        <v>19</v>
      </c>
      <c r="C13" s="17" t="s">
        <v>20</v>
      </c>
    </row>
    <row r="14" spans="2:3" x14ac:dyDescent="0.3">
      <c r="B14" s="15" t="s">
        <v>9</v>
      </c>
      <c r="C14" s="16" t="s">
        <v>10</v>
      </c>
    </row>
    <row r="15" spans="2:3" x14ac:dyDescent="0.3">
      <c r="B15" s="13" t="s">
        <v>11</v>
      </c>
      <c r="C15" s="384" t="s">
        <v>1027</v>
      </c>
    </row>
    <row r="16" spans="2:3" x14ac:dyDescent="0.3">
      <c r="B16" s="15" t="s">
        <v>12</v>
      </c>
      <c r="C16" s="384" t="s">
        <v>1028</v>
      </c>
    </row>
    <row r="17" spans="1:3" x14ac:dyDescent="0.3">
      <c r="B17" s="15" t="s">
        <v>13</v>
      </c>
      <c r="C17" s="17" t="s">
        <v>14</v>
      </c>
    </row>
    <row r="18" spans="1:3" x14ac:dyDescent="0.3">
      <c r="B18" s="15" t="s">
        <v>21</v>
      </c>
      <c r="C18" s="385" t="str">
        <f>"$"&amp;TEXT('Raw Data'!D177,"#,##0.00")&amp;" as of "&amp;'Raw Data'!E177</f>
        <v>$927.60 as of 15-Sep-2026</v>
      </c>
    </row>
    <row r="19" spans="1:3" ht="21.6" customHeight="1" x14ac:dyDescent="0.3">
      <c r="B19" s="15" t="s">
        <v>22</v>
      </c>
      <c r="C19" s="16" t="s">
        <v>23</v>
      </c>
    </row>
    <row r="22" spans="1:3" ht="18" x14ac:dyDescent="0.35">
      <c r="B22" s="1" t="s">
        <v>24</v>
      </c>
    </row>
    <row r="23" spans="1:3" x14ac:dyDescent="0.3">
      <c r="B23" s="24">
        <v>1234.5</v>
      </c>
      <c r="C23" s="25" t="s">
        <v>120</v>
      </c>
    </row>
    <row r="24" spans="1:3" x14ac:dyDescent="0.3">
      <c r="B24" s="26">
        <v>1234.5</v>
      </c>
      <c r="C24" s="25" t="s">
        <v>121</v>
      </c>
    </row>
    <row r="25" spans="1:3" x14ac:dyDescent="0.3">
      <c r="B25" s="27">
        <v>1234.5</v>
      </c>
      <c r="C25" s="28" t="s">
        <v>122</v>
      </c>
    </row>
    <row r="26" spans="1:3" x14ac:dyDescent="0.3">
      <c r="B26" s="29"/>
      <c r="C26" s="30"/>
    </row>
    <row r="27" spans="1:3" ht="18" x14ac:dyDescent="0.35">
      <c r="B27" s="1" t="s">
        <v>25</v>
      </c>
    </row>
    <row r="28" spans="1:3" x14ac:dyDescent="0.3">
      <c r="B28" s="18" t="s">
        <v>26</v>
      </c>
      <c r="C28" s="19" t="s">
        <v>27</v>
      </c>
    </row>
    <row r="29" spans="1:3" ht="16.8" x14ac:dyDescent="0.3">
      <c r="A29" s="2"/>
      <c r="B29" s="20" t="s">
        <v>28</v>
      </c>
      <c r="C29" s="21" t="s">
        <v>29</v>
      </c>
    </row>
    <row r="30" spans="1:3" ht="16.8" x14ac:dyDescent="0.3">
      <c r="A30" s="2"/>
      <c r="B30" s="20" t="s">
        <v>30</v>
      </c>
      <c r="C30" s="21" t="s">
        <v>31</v>
      </c>
    </row>
    <row r="31" spans="1:3" ht="16.8" x14ac:dyDescent="0.3">
      <c r="A31" s="2"/>
      <c r="B31" s="22" t="s">
        <v>32</v>
      </c>
      <c r="C31" s="23" t="s">
        <v>33</v>
      </c>
    </row>
    <row r="32" spans="1:3" ht="16.8" x14ac:dyDescent="0.3">
      <c r="A32" s="2"/>
      <c r="B32" s="20" t="s">
        <v>34</v>
      </c>
      <c r="C32" s="21" t="s">
        <v>35</v>
      </c>
    </row>
    <row r="33" spans="1:3" ht="16.8" x14ac:dyDescent="0.3">
      <c r="A33" s="2"/>
      <c r="B33" s="22" t="s">
        <v>36</v>
      </c>
      <c r="C33" s="23" t="s">
        <v>37</v>
      </c>
    </row>
    <row r="34" spans="1:3" ht="16.8" x14ac:dyDescent="0.3">
      <c r="A34" s="2"/>
      <c r="B34" s="20" t="s">
        <v>38</v>
      </c>
      <c r="C34" s="21" t="s">
        <v>39</v>
      </c>
    </row>
    <row r="35" spans="1:3" ht="16.8" x14ac:dyDescent="0.3">
      <c r="A35" s="2"/>
      <c r="B35" s="20" t="s">
        <v>40</v>
      </c>
      <c r="C35" s="21" t="s">
        <v>41</v>
      </c>
    </row>
    <row r="36" spans="1:3" ht="16.8" x14ac:dyDescent="0.3">
      <c r="A36" s="2"/>
      <c r="B36" s="22" t="s">
        <v>42</v>
      </c>
      <c r="C36" s="23" t="s">
        <v>43</v>
      </c>
    </row>
    <row r="37" spans="1:3" ht="16.8" x14ac:dyDescent="0.3">
      <c r="A37" s="2"/>
      <c r="B37" s="20" t="s">
        <v>44</v>
      </c>
      <c r="C37" s="21" t="s">
        <v>45</v>
      </c>
    </row>
    <row r="38" spans="1:3" ht="16.8" x14ac:dyDescent="0.3">
      <c r="A38" s="2"/>
      <c r="B38" s="20" t="s">
        <v>46</v>
      </c>
      <c r="C38" s="21" t="s">
        <v>47</v>
      </c>
    </row>
    <row r="39" spans="1:3" ht="16.8" x14ac:dyDescent="0.3">
      <c r="A39" s="2"/>
      <c r="B39" s="20" t="s">
        <v>48</v>
      </c>
      <c r="C39" s="21" t="s">
        <v>49</v>
      </c>
    </row>
    <row r="40" spans="1:3" ht="16.8" x14ac:dyDescent="0.3">
      <c r="A40" s="2"/>
      <c r="B40" s="22" t="s">
        <v>50</v>
      </c>
      <c r="C40" s="23" t="s">
        <v>51</v>
      </c>
    </row>
    <row r="41" spans="1:3" ht="16.8" x14ac:dyDescent="0.3">
      <c r="A41" s="2"/>
      <c r="B41" s="20" t="s">
        <v>52</v>
      </c>
      <c r="C41" s="21" t="s">
        <v>53</v>
      </c>
    </row>
    <row r="42" spans="1:3" x14ac:dyDescent="0.3">
      <c r="A42" s="3"/>
    </row>
    <row r="44" spans="1:3" ht="18" x14ac:dyDescent="0.35">
      <c r="B44" s="1" t="s">
        <v>54</v>
      </c>
    </row>
    <row r="45" spans="1:3" x14ac:dyDescent="0.3">
      <c r="B45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379D-BB46-42A7-9858-D67FDE652982}">
  <sheetPr>
    <tabColor theme="3"/>
  </sheetPr>
  <dimension ref="A1:AB203"/>
  <sheetViews>
    <sheetView showGridLines="0" tabSelected="1" zoomScale="120" zoomScaleNormal="12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.5546875" customWidth="1"/>
    <col min="2" max="2" width="33.33203125" customWidth="1"/>
    <col min="3" max="3" width="16.33203125" customWidth="1"/>
    <col min="4" max="14" width="14.44140625" customWidth="1"/>
    <col min="15" max="16" width="2.5546875" customWidth="1"/>
    <col min="17" max="17" width="33.33203125" customWidth="1"/>
    <col min="18" max="28" width="14.44140625" customWidth="1"/>
  </cols>
  <sheetData>
    <row r="1" spans="1:28" ht="7.95" customHeight="1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ht="30" customHeight="1" x14ac:dyDescent="0.5">
      <c r="A2" s="31"/>
      <c r="B2" s="98" t="str">
        <f>Cover!B2</f>
        <v>MICRON TECHNOLOGY, INC. (NASDAQ: MU)</v>
      </c>
      <c r="C2" s="99"/>
      <c r="D2" s="99"/>
      <c r="E2" s="99"/>
      <c r="F2" s="99"/>
      <c r="G2" s="99"/>
      <c r="H2" s="99"/>
      <c r="I2" s="99"/>
      <c r="J2" s="99"/>
      <c r="K2" s="99"/>
      <c r="L2" s="100"/>
      <c r="M2" s="99"/>
      <c r="N2" s="99"/>
      <c r="O2" s="31"/>
      <c r="P2" s="31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 ht="27.6" customHeight="1" x14ac:dyDescent="0.35">
      <c r="A3" s="31"/>
      <c r="B3" s="101" t="s">
        <v>123</v>
      </c>
      <c r="C3" s="102"/>
      <c r="D3" s="102"/>
      <c r="E3" s="102"/>
      <c r="F3" s="102"/>
      <c r="G3" s="102"/>
      <c r="H3" s="102"/>
      <c r="I3" s="102"/>
      <c r="J3" s="103"/>
      <c r="K3" s="102"/>
      <c r="L3" s="102"/>
      <c r="M3" s="102"/>
      <c r="N3" s="102"/>
      <c r="O3" s="31"/>
      <c r="P3" s="31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ht="9.6" customHeight="1" x14ac:dyDescent="0.3">
      <c r="A4" s="31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31"/>
      <c r="P4" s="31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7.95" customHeigh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2"/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22.05" customHeight="1" x14ac:dyDescent="0.35">
      <c r="A6" s="31"/>
      <c r="B6" s="34" t="s">
        <v>56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1"/>
      <c r="P6" s="31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15" customHeight="1" x14ac:dyDescent="0.3">
      <c r="A7" s="31"/>
      <c r="B7" s="406" t="s">
        <v>57</v>
      </c>
      <c r="C7" s="407"/>
      <c r="D7" s="406" t="s">
        <v>58</v>
      </c>
      <c r="E7" s="407"/>
      <c r="F7" s="406" t="s">
        <v>59</v>
      </c>
      <c r="G7" s="407"/>
      <c r="H7" s="406" t="s">
        <v>60</v>
      </c>
      <c r="I7" s="407"/>
      <c r="J7" s="406" t="s">
        <v>61</v>
      </c>
      <c r="K7" s="407"/>
      <c r="L7" s="406" t="s">
        <v>124</v>
      </c>
      <c r="M7" s="407"/>
      <c r="N7" s="411"/>
      <c r="O7" s="31"/>
      <c r="P7" s="31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ht="24" customHeight="1" x14ac:dyDescent="0.4">
      <c r="A8" s="31"/>
      <c r="B8" s="412" t="str">
        <f>Scenarios!I46</f>
        <v>SELL</v>
      </c>
      <c r="C8" s="409"/>
      <c r="D8" s="417">
        <f>Scenarios!I42</f>
        <v>284.13116163461018</v>
      </c>
      <c r="E8" s="409"/>
      <c r="F8" s="417">
        <f>Scenarios!I38</f>
        <v>927.6</v>
      </c>
      <c r="G8" s="409"/>
      <c r="H8" s="418">
        <f>Scenarios!I43</f>
        <v>-0.6936921500273715</v>
      </c>
      <c r="I8" s="409"/>
      <c r="J8" s="408">
        <f>(Scenarios!I42*Scenarios!G18-Scenarios!G16)/Scenarios!G29</f>
        <v>2.2759042096328006</v>
      </c>
      <c r="K8" s="409"/>
      <c r="L8" s="412" t="str">
        <f>Checks!H28</f>
        <v>ALL CHECKS PASS</v>
      </c>
      <c r="M8" s="413"/>
      <c r="N8" s="409"/>
      <c r="O8" s="31"/>
      <c r="P8" s="31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spans="1:28" ht="13.05" customHeight="1" x14ac:dyDescent="0.3">
      <c r="A9" s="31"/>
      <c r="B9" s="410" t="s">
        <v>1016</v>
      </c>
      <c r="C9" s="409"/>
      <c r="D9" s="410" t="s">
        <v>1017</v>
      </c>
      <c r="E9" s="409"/>
      <c r="F9" s="410" t="s">
        <v>1018</v>
      </c>
      <c r="G9" s="409"/>
      <c r="H9" s="410" t="s">
        <v>1019</v>
      </c>
      <c r="I9" s="409"/>
      <c r="J9" s="410" t="s">
        <v>1020</v>
      </c>
      <c r="K9" s="409"/>
      <c r="L9" s="410" t="s">
        <v>1021</v>
      </c>
      <c r="M9" s="413"/>
      <c r="N9" s="409"/>
      <c r="O9" s="31"/>
      <c r="P9" s="31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54" customHeight="1" x14ac:dyDescent="0.3">
      <c r="A10" s="31"/>
      <c r="B10" s="397" t="s">
        <v>125</v>
      </c>
      <c r="C10" s="414" t="s">
        <v>1022</v>
      </c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6"/>
      <c r="O10" s="31"/>
      <c r="P10" s="31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7.95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22.05" customHeight="1" x14ac:dyDescent="0.35">
      <c r="A12" s="31"/>
      <c r="B12" s="34" t="s">
        <v>62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1"/>
      <c r="P12" s="31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15" customHeight="1" x14ac:dyDescent="0.3">
      <c r="A13" s="31"/>
      <c r="B13" s="70" t="s">
        <v>63</v>
      </c>
      <c r="C13" s="71" t="s">
        <v>64</v>
      </c>
      <c r="D13" s="71" t="s">
        <v>65</v>
      </c>
      <c r="E13" s="71" t="s">
        <v>1029</v>
      </c>
      <c r="F13" s="71" t="s">
        <v>66</v>
      </c>
      <c r="G13" s="71" t="s">
        <v>67</v>
      </c>
      <c r="H13" s="71" t="s">
        <v>68</v>
      </c>
      <c r="I13" s="71" t="s">
        <v>69</v>
      </c>
      <c r="J13" s="71" t="s">
        <v>70</v>
      </c>
      <c r="K13" s="71" t="s">
        <v>71</v>
      </c>
      <c r="L13" s="71" t="s">
        <v>72</v>
      </c>
      <c r="M13" s="71" t="s">
        <v>1023</v>
      </c>
      <c r="N13" s="72"/>
      <c r="O13" s="31"/>
      <c r="P13" s="31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15" customHeight="1" x14ac:dyDescent="0.3">
      <c r="A14" s="31"/>
      <c r="B14" s="50" t="s">
        <v>73</v>
      </c>
      <c r="C14" s="375">
        <f>Scenarios!F41</f>
        <v>0.25</v>
      </c>
      <c r="D14" s="369">
        <f>Scenarios!F15</f>
        <v>100530.04152751874</v>
      </c>
      <c r="E14" s="369">
        <f>Scenarios!F16</f>
        <v>45796.481283996109</v>
      </c>
      <c r="F14" s="369">
        <f>Scenarios!F17</f>
        <v>146326.52281151485</v>
      </c>
      <c r="G14" s="394">
        <f>Scenarios!F18</f>
        <v>1150</v>
      </c>
      <c r="H14" s="371">
        <f>Scenarios!F10</f>
        <v>127.24045461870857</v>
      </c>
      <c r="I14" s="375">
        <f>Scenarios!F12</f>
        <v>-0.86282831541751981</v>
      </c>
      <c r="J14" s="376">
        <f>Scenarios!F20</f>
        <v>1.2782421624658502</v>
      </c>
      <c r="K14" s="376">
        <f>Scenarios!F21</f>
        <v>1.0746805640214121</v>
      </c>
      <c r="L14" s="375">
        <f>Scenarios!F19</f>
        <v>0.20174255636969948</v>
      </c>
      <c r="M14" s="371">
        <f>Scenarios!F11</f>
        <v>198.20868573732074</v>
      </c>
      <c r="N14" s="52"/>
      <c r="O14" s="31"/>
      <c r="P14" s="31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15" customHeight="1" x14ac:dyDescent="0.3">
      <c r="A15" s="31"/>
      <c r="B15" s="73" t="s">
        <v>74</v>
      </c>
      <c r="C15" s="375">
        <f>Scenarios!G41</f>
        <v>0.5</v>
      </c>
      <c r="D15" s="369">
        <f>Scenarios!G15</f>
        <v>238365.89130988606</v>
      </c>
      <c r="E15" s="369">
        <f>Scenarios!G16</f>
        <v>45796.481283996109</v>
      </c>
      <c r="F15" s="369">
        <f>Scenarios!G17</f>
        <v>284162.37259388214</v>
      </c>
      <c r="G15" s="394">
        <f>Scenarios!G18</f>
        <v>1150</v>
      </c>
      <c r="H15" s="371">
        <f>Scenarios!G10</f>
        <v>247.09771529902795</v>
      </c>
      <c r="I15" s="375">
        <f>Scenarios!G12</f>
        <v>-0.73361608958707636</v>
      </c>
      <c r="J15" s="376">
        <f>Scenarios!G20</f>
        <v>1.9309112907166281</v>
      </c>
      <c r="K15" s="376">
        <f>Scenarios!G21</f>
        <v>2.0870022261529773</v>
      </c>
      <c r="L15" s="375">
        <f>Scenarios!G19</f>
        <v>0.32835097183930861</v>
      </c>
      <c r="M15" s="371">
        <f>Scenarios!G11</f>
        <v>333.11753078343912</v>
      </c>
      <c r="N15" s="52"/>
      <c r="O15" s="31"/>
      <c r="P15" s="31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15" customHeight="1" x14ac:dyDescent="0.3">
      <c r="A16" s="31"/>
      <c r="B16" s="76" t="s">
        <v>75</v>
      </c>
      <c r="C16" s="377">
        <f>Scenarios!H41</f>
        <v>0.25</v>
      </c>
      <c r="D16" s="378">
        <f>Scenarios!H15</f>
        <v>546555.59423593141</v>
      </c>
      <c r="E16" s="378">
        <f>Scenarios!H16</f>
        <v>45796.481283996109</v>
      </c>
      <c r="F16" s="378">
        <f>Scenarios!H17</f>
        <v>592352.07551992754</v>
      </c>
      <c r="G16" s="395">
        <f>Scenarios!H18</f>
        <v>1150</v>
      </c>
      <c r="H16" s="379">
        <f>Scenarios!H10</f>
        <v>515.08876132167609</v>
      </c>
      <c r="I16" s="377">
        <f>Scenarios!H12</f>
        <v>-0.44470810551781359</v>
      </c>
      <c r="J16" s="380">
        <f>Scenarios!H20</f>
        <v>3.4625899528389446</v>
      </c>
      <c r="K16" s="380">
        <f>Scenarios!H21</f>
        <v>4.3504707853887092</v>
      </c>
      <c r="L16" s="377">
        <f>Scenarios!H19</f>
        <v>0.48357963456428504</v>
      </c>
      <c r="M16" s="379">
        <f>Scenarios!H11</f>
        <v>582.57187926444999</v>
      </c>
      <c r="N16" s="79"/>
      <c r="O16" s="31"/>
      <c r="P16" s="31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15" customHeight="1" x14ac:dyDescent="0.3">
      <c r="A17" s="31"/>
      <c r="B17" s="44" t="s">
        <v>76</v>
      </c>
      <c r="C17" s="46">
        <f>SUM(C14:C16)</f>
        <v>1</v>
      </c>
      <c r="D17" s="47">
        <f>Scenarios!I15</f>
        <v>280954.35459580558</v>
      </c>
      <c r="E17" s="47">
        <f>Scenarios!I16</f>
        <v>45796.481283996109</v>
      </c>
      <c r="F17" s="47">
        <f>Scenarios!I17</f>
        <v>326750.83587980166</v>
      </c>
      <c r="G17" s="396">
        <f>Scenarios!I18</f>
        <v>1150</v>
      </c>
      <c r="H17" s="48">
        <f>Scenarios!I10</f>
        <v>284.13116163461018</v>
      </c>
      <c r="I17" s="46">
        <f>Scenarios!I12</f>
        <v>-0.6936921500273715</v>
      </c>
      <c r="J17" s="49"/>
      <c r="K17" s="49"/>
      <c r="L17" s="46"/>
      <c r="M17" s="48">
        <f>Scenarios!I11</f>
        <v>361.75390664216224</v>
      </c>
      <c r="N17" s="45"/>
      <c r="O17" s="31"/>
      <c r="P17" s="31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7.95" customHeight="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22.05" customHeight="1" x14ac:dyDescent="0.35">
      <c r="A19" s="31"/>
      <c r="B19" s="34" t="s">
        <v>101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1"/>
      <c r="P19" s="31"/>
      <c r="Q19" s="34" t="str">
        <f>"LIVE CASE: "&amp;UPPER(INDEX(Assumptions!$C$27:$C$29,Assumptions!$D$7))</f>
        <v>LIVE CASE: BASE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16.05" customHeight="1" thickBot="1" x14ac:dyDescent="0.35">
      <c r="A20" s="31"/>
      <c r="B20" s="81"/>
      <c r="C20" s="82"/>
      <c r="D20" s="82"/>
      <c r="E20" s="82"/>
      <c r="F20" s="82"/>
      <c r="G20" s="82"/>
      <c r="H20" s="402" t="s">
        <v>126</v>
      </c>
      <c r="I20" s="402"/>
      <c r="J20" s="402"/>
      <c r="K20" s="402"/>
      <c r="L20" s="402"/>
      <c r="M20" s="402"/>
      <c r="N20" s="403"/>
      <c r="O20" s="31"/>
      <c r="P20" s="31"/>
      <c r="Q20" s="82"/>
      <c r="R20" s="82"/>
      <c r="S20" s="82"/>
      <c r="T20" s="82"/>
      <c r="U20" s="82"/>
      <c r="V20" s="404" t="s">
        <v>126</v>
      </c>
      <c r="W20" s="405"/>
      <c r="X20" s="405"/>
      <c r="Y20" s="405"/>
      <c r="Z20" s="405"/>
      <c r="AA20" s="405"/>
      <c r="AB20" s="405"/>
    </row>
    <row r="21" spans="1:28" ht="18" customHeight="1" thickBot="1" x14ac:dyDescent="0.35">
      <c r="A21" s="31"/>
      <c r="B21" s="90" t="s">
        <v>77</v>
      </c>
      <c r="C21" s="97" t="s">
        <v>102</v>
      </c>
      <c r="D21" s="93" t="str">
        <f t="shared" ref="D21:N21" si="0">R$21</f>
        <v>FY2022A</v>
      </c>
      <c r="E21" s="93" t="str">
        <f t="shared" si="0"/>
        <v>FY2023A</v>
      </c>
      <c r="F21" s="93" t="str">
        <f t="shared" si="0"/>
        <v>FY2024A</v>
      </c>
      <c r="G21" s="93" t="str">
        <f t="shared" si="0"/>
        <v>FY2025A</v>
      </c>
      <c r="H21" s="94" t="str">
        <f t="shared" si="0"/>
        <v>FY2026E</v>
      </c>
      <c r="I21" s="95" t="str">
        <f t="shared" si="0"/>
        <v>FY2027E</v>
      </c>
      <c r="J21" s="95" t="str">
        <f t="shared" si="0"/>
        <v>FY2028E</v>
      </c>
      <c r="K21" s="95" t="str">
        <f t="shared" si="0"/>
        <v>FY2029E</v>
      </c>
      <c r="L21" s="95" t="str">
        <f t="shared" si="0"/>
        <v>FY2030E</v>
      </c>
      <c r="M21" s="95" t="str">
        <f t="shared" si="0"/>
        <v>FY2031E</v>
      </c>
      <c r="N21" s="96" t="str">
        <f t="shared" si="0"/>
        <v>FY2032E</v>
      </c>
      <c r="O21" s="31"/>
      <c r="P21" s="31"/>
      <c r="Q21" s="92" t="s">
        <v>77</v>
      </c>
      <c r="R21" s="93" t="s">
        <v>78</v>
      </c>
      <c r="S21" s="93" t="s">
        <v>79</v>
      </c>
      <c r="T21" s="93" t="s">
        <v>80</v>
      </c>
      <c r="U21" s="93" t="s">
        <v>81</v>
      </c>
      <c r="V21" s="94" t="s">
        <v>82</v>
      </c>
      <c r="W21" s="95" t="s">
        <v>83</v>
      </c>
      <c r="X21" s="95" t="s">
        <v>84</v>
      </c>
      <c r="Y21" s="95" t="s">
        <v>85</v>
      </c>
      <c r="Z21" s="95" t="s">
        <v>86</v>
      </c>
      <c r="AA21" s="95" t="s">
        <v>87</v>
      </c>
      <c r="AB21" s="96" t="s">
        <v>88</v>
      </c>
    </row>
    <row r="22" spans="1:28" ht="13.95" customHeight="1" x14ac:dyDescent="0.3">
      <c r="A22" s="31"/>
      <c r="B22" s="87" t="s">
        <v>89</v>
      </c>
      <c r="C22" s="88"/>
      <c r="D22" s="386">
        <v>30758</v>
      </c>
      <c r="E22" s="386">
        <v>15540</v>
      </c>
      <c r="F22" s="386">
        <v>25111</v>
      </c>
      <c r="G22" s="386">
        <v>37378</v>
      </c>
      <c r="H22" s="386">
        <v>128959</v>
      </c>
      <c r="I22" s="386">
        <v>145667.61923838675</v>
      </c>
      <c r="J22" s="386">
        <v>92134.769168279629</v>
      </c>
      <c r="K22" s="386">
        <v>69981.931429441029</v>
      </c>
      <c r="L22" s="386">
        <v>72846.274565483618</v>
      </c>
      <c r="M22" s="386">
        <v>71045.641914037114</v>
      </c>
      <c r="N22" s="387">
        <v>69290.759060996774</v>
      </c>
      <c r="O22" s="31"/>
      <c r="P22" s="31"/>
      <c r="Q22" s="91" t="s">
        <v>89</v>
      </c>
      <c r="R22" s="365">
        <f>Model!F10</f>
        <v>30758</v>
      </c>
      <c r="S22" s="365">
        <f>Model!G10</f>
        <v>15540</v>
      </c>
      <c r="T22" s="365">
        <f>Model!H10</f>
        <v>25111</v>
      </c>
      <c r="U22" s="365">
        <f>Model!I10</f>
        <v>37378</v>
      </c>
      <c r="V22" s="365">
        <f>Model!J10</f>
        <v>128959</v>
      </c>
      <c r="W22" s="365">
        <f>Model!K10</f>
        <v>145667.61923838675</v>
      </c>
      <c r="X22" s="365">
        <f>Model!L10</f>
        <v>92134.769168279629</v>
      </c>
      <c r="Y22" s="365">
        <f>Model!M10</f>
        <v>69981.931429441029</v>
      </c>
      <c r="Z22" s="365">
        <f>Model!N10</f>
        <v>72846.274565483618</v>
      </c>
      <c r="AA22" s="365">
        <f>Model!O10</f>
        <v>71045.641914037114</v>
      </c>
      <c r="AB22" s="366">
        <f>Model!P10</f>
        <v>69290.759060996774</v>
      </c>
    </row>
    <row r="23" spans="1:28" ht="13.95" customHeight="1" x14ac:dyDescent="0.3">
      <c r="A23" s="31"/>
      <c r="B23" s="58" t="s">
        <v>90</v>
      </c>
      <c r="C23" s="59"/>
      <c r="D23" s="60"/>
      <c r="E23" s="60">
        <v>-0.4947655894401457</v>
      </c>
      <c r="F23" s="60">
        <v>0.61589446589446584</v>
      </c>
      <c r="G23" s="60">
        <v>0.48851101111066852</v>
      </c>
      <c r="H23" s="60">
        <v>2.450131093156402</v>
      </c>
      <c r="I23" s="60">
        <v>0.12956535983054107</v>
      </c>
      <c r="J23" s="60">
        <v>-0.36749999999999994</v>
      </c>
      <c r="K23" s="60">
        <v>-0.24043949899497252</v>
      </c>
      <c r="L23" s="60">
        <v>4.0929752545205922E-2</v>
      </c>
      <c r="M23" s="60">
        <v>-2.4718253091005504E-2</v>
      </c>
      <c r="N23" s="61">
        <v>-2.4700781156480889E-2</v>
      </c>
      <c r="O23" s="31"/>
      <c r="P23" s="31"/>
      <c r="Q23" s="58" t="s">
        <v>90</v>
      </c>
      <c r="R23" s="60"/>
      <c r="S23" s="367">
        <f>Model!G11</f>
        <v>-0.4947655894401457</v>
      </c>
      <c r="T23" s="367">
        <f>Model!H11</f>
        <v>0.61589446589446584</v>
      </c>
      <c r="U23" s="367">
        <f>Model!I11</f>
        <v>0.48851101111066852</v>
      </c>
      <c r="V23" s="367">
        <f>Model!J11</f>
        <v>2.450131093156402</v>
      </c>
      <c r="W23" s="367">
        <f>Model!K11</f>
        <v>0.12956535983054107</v>
      </c>
      <c r="X23" s="367">
        <f>Model!L11</f>
        <v>-0.36749999999999994</v>
      </c>
      <c r="Y23" s="367">
        <f>Model!M11</f>
        <v>-0.24043949899497252</v>
      </c>
      <c r="Z23" s="367">
        <f>Model!N11</f>
        <v>4.0929752545205922E-2</v>
      </c>
      <c r="AA23" s="367">
        <f>Model!O11</f>
        <v>-2.4718253091005504E-2</v>
      </c>
      <c r="AB23" s="368">
        <f>Model!P11</f>
        <v>-2.4700781156480889E-2</v>
      </c>
    </row>
    <row r="24" spans="1:28" ht="13.95" customHeight="1" x14ac:dyDescent="0.3">
      <c r="A24" s="31"/>
      <c r="B24" s="50" t="s">
        <v>91</v>
      </c>
      <c r="C24" s="51"/>
      <c r="D24" s="388">
        <v>13898</v>
      </c>
      <c r="E24" s="388">
        <v>-1416</v>
      </c>
      <c r="F24" s="388">
        <v>5613</v>
      </c>
      <c r="G24" s="388">
        <v>14873</v>
      </c>
      <c r="H24" s="388">
        <v>103457</v>
      </c>
      <c r="I24" s="388">
        <v>119859.59523838674</v>
      </c>
      <c r="J24" s="388">
        <v>64829.879776279631</v>
      </c>
      <c r="K24" s="388">
        <v>40627.257230738818</v>
      </c>
      <c r="L24" s="388">
        <v>41611.095176901159</v>
      </c>
      <c r="M24" s="388">
        <v>37805.656876769332</v>
      </c>
      <c r="N24" s="389">
        <v>33918.910594310524</v>
      </c>
      <c r="O24" s="31"/>
      <c r="P24" s="31"/>
      <c r="Q24" s="83" t="s">
        <v>91</v>
      </c>
      <c r="R24" s="369">
        <f>Schedules!F261</f>
        <v>13898</v>
      </c>
      <c r="S24" s="369">
        <f>Schedules!G261</f>
        <v>-1416</v>
      </c>
      <c r="T24" s="369">
        <f>Schedules!H261</f>
        <v>5613</v>
      </c>
      <c r="U24" s="369">
        <f>Schedules!I261</f>
        <v>14873</v>
      </c>
      <c r="V24" s="369">
        <f>Schedules!J261</f>
        <v>103457</v>
      </c>
      <c r="W24" s="369">
        <f>Schedules!K261</f>
        <v>119859.59523838674</v>
      </c>
      <c r="X24" s="369">
        <f>Schedules!L261</f>
        <v>64829.879776279631</v>
      </c>
      <c r="Y24" s="369">
        <f>Schedules!M261</f>
        <v>40627.257230738818</v>
      </c>
      <c r="Z24" s="369">
        <f>Schedules!N261</f>
        <v>41611.095176901159</v>
      </c>
      <c r="AA24" s="369">
        <f>Schedules!O261</f>
        <v>37805.656876769332</v>
      </c>
      <c r="AB24" s="370">
        <f>Schedules!P261</f>
        <v>33918.910594310524</v>
      </c>
    </row>
    <row r="25" spans="1:28" ht="13.95" customHeight="1" x14ac:dyDescent="0.3">
      <c r="A25" s="31"/>
      <c r="B25" s="58" t="s">
        <v>92</v>
      </c>
      <c r="C25" s="59"/>
      <c r="D25" s="60">
        <v>0.45184992522270628</v>
      </c>
      <c r="E25" s="60">
        <v>-9.1119691119691121E-2</v>
      </c>
      <c r="F25" s="60">
        <v>0.22352753773246783</v>
      </c>
      <c r="G25" s="60">
        <v>0.39790786023864305</v>
      </c>
      <c r="H25" s="60">
        <v>0.80224722586248343</v>
      </c>
      <c r="I25" s="60">
        <v>0.82282936911486915</v>
      </c>
      <c r="J25" s="60">
        <v>0.70364185379214483</v>
      </c>
      <c r="K25" s="60">
        <v>0.58053923921349715</v>
      </c>
      <c r="L25" s="60">
        <v>0.57121788897379711</v>
      </c>
      <c r="M25" s="60">
        <v>0.53213196275308383</v>
      </c>
      <c r="N25" s="61">
        <v>0.48951564471175224</v>
      </c>
      <c r="O25" s="31"/>
      <c r="P25" s="31"/>
      <c r="Q25" s="58" t="s">
        <v>92</v>
      </c>
      <c r="R25" s="367">
        <f>Schedules!F262</f>
        <v>0.45184992522270628</v>
      </c>
      <c r="S25" s="367">
        <f>Schedules!G262</f>
        <v>-9.1119691119691121E-2</v>
      </c>
      <c r="T25" s="367">
        <f>Schedules!H262</f>
        <v>0.22352753773246783</v>
      </c>
      <c r="U25" s="367">
        <f>Schedules!I262</f>
        <v>0.39790786023864305</v>
      </c>
      <c r="V25" s="367">
        <f>Schedules!J262</f>
        <v>0.80224722586248343</v>
      </c>
      <c r="W25" s="367">
        <f>Schedules!K262</f>
        <v>0.82282936911486915</v>
      </c>
      <c r="X25" s="367">
        <f>Schedules!L262</f>
        <v>0.70364185379214483</v>
      </c>
      <c r="Y25" s="367">
        <f>Schedules!M262</f>
        <v>0.58053923921349715</v>
      </c>
      <c r="Z25" s="367">
        <f>Schedules!N262</f>
        <v>0.57121788897379711</v>
      </c>
      <c r="AA25" s="367">
        <f>Schedules!O262</f>
        <v>0.53213196275308383</v>
      </c>
      <c r="AB25" s="368">
        <f>Schedules!P262</f>
        <v>0.48951564471175224</v>
      </c>
    </row>
    <row r="26" spans="1:28" ht="13.95" customHeight="1" x14ac:dyDescent="0.3">
      <c r="A26" s="31"/>
      <c r="B26" s="50" t="s">
        <v>93</v>
      </c>
      <c r="C26" s="51"/>
      <c r="D26" s="388">
        <v>16818</v>
      </c>
      <c r="E26" s="388">
        <v>2011</v>
      </c>
      <c r="F26" s="388">
        <v>9084</v>
      </c>
      <c r="G26" s="388">
        <v>18122</v>
      </c>
      <c r="H26" s="388">
        <v>105878.33333333333</v>
      </c>
      <c r="I26" s="388">
        <v>123447.35486083373</v>
      </c>
      <c r="J26" s="388">
        <v>70878.558869400164</v>
      </c>
      <c r="K26" s="388">
        <v>48617.832269564133</v>
      </c>
      <c r="L26" s="388">
        <v>51159.388944965242</v>
      </c>
      <c r="M26" s="388">
        <v>48751.45181652988</v>
      </c>
      <c r="N26" s="389">
        <v>46116.363517219943</v>
      </c>
      <c r="O26" s="31"/>
      <c r="P26" s="31"/>
      <c r="Q26" s="83" t="s">
        <v>93</v>
      </c>
      <c r="R26" s="369">
        <f>Model!F13</f>
        <v>16818</v>
      </c>
      <c r="S26" s="369">
        <f>Model!G13</f>
        <v>2011</v>
      </c>
      <c r="T26" s="369">
        <f>Model!H13</f>
        <v>9084</v>
      </c>
      <c r="U26" s="369">
        <f>Model!I13</f>
        <v>18122</v>
      </c>
      <c r="V26" s="369">
        <f>Model!J13</f>
        <v>105878.33333333333</v>
      </c>
      <c r="W26" s="369">
        <f>Model!K13</f>
        <v>123447.35486083373</v>
      </c>
      <c r="X26" s="369">
        <f>Model!L13</f>
        <v>70878.558869400164</v>
      </c>
      <c r="Y26" s="369">
        <f>Model!M13</f>
        <v>48617.832269564133</v>
      </c>
      <c r="Z26" s="369">
        <f>Model!N13</f>
        <v>51159.388944965242</v>
      </c>
      <c r="AA26" s="369">
        <f>Model!O13</f>
        <v>48751.45181652988</v>
      </c>
      <c r="AB26" s="370">
        <f>Model!P13</f>
        <v>46116.363517219943</v>
      </c>
    </row>
    <row r="27" spans="1:28" ht="13.95" customHeight="1" x14ac:dyDescent="0.3">
      <c r="A27" s="31"/>
      <c r="B27" s="58" t="s">
        <v>92</v>
      </c>
      <c r="C27" s="59"/>
      <c r="D27" s="60">
        <v>0.54678457637037514</v>
      </c>
      <c r="E27" s="60">
        <v>0.12940797940797941</v>
      </c>
      <c r="F27" s="60">
        <v>0.36175381306996934</v>
      </c>
      <c r="G27" s="60">
        <v>0.4848306490448927</v>
      </c>
      <c r="H27" s="60">
        <v>0.82102321926607158</v>
      </c>
      <c r="I27" s="60">
        <v>0.84745913680933238</v>
      </c>
      <c r="J27" s="60">
        <v>0.76929219565247897</v>
      </c>
      <c r="K27" s="60">
        <v>0.69471978375708088</v>
      </c>
      <c r="L27" s="60">
        <v>0.70229245421434139</v>
      </c>
      <c r="M27" s="60">
        <v>0.68619904758574113</v>
      </c>
      <c r="N27" s="61">
        <v>0.66554853983665596</v>
      </c>
      <c r="O27" s="31"/>
      <c r="P27" s="31"/>
      <c r="Q27" s="58" t="s">
        <v>92</v>
      </c>
      <c r="R27" s="367">
        <f>Model!F14</f>
        <v>0.54678457637037514</v>
      </c>
      <c r="S27" s="367">
        <f>Model!G14</f>
        <v>0.12940797940797941</v>
      </c>
      <c r="T27" s="367">
        <f>Model!H14</f>
        <v>0.36175381306996934</v>
      </c>
      <c r="U27" s="367">
        <f>Model!I14</f>
        <v>0.4848306490448927</v>
      </c>
      <c r="V27" s="367">
        <f>Model!J14</f>
        <v>0.82102321926607158</v>
      </c>
      <c r="W27" s="367">
        <f>Model!K14</f>
        <v>0.84745913680933238</v>
      </c>
      <c r="X27" s="367">
        <f>Model!L14</f>
        <v>0.76929219565247897</v>
      </c>
      <c r="Y27" s="367">
        <f>Model!M14</f>
        <v>0.69471978375708088</v>
      </c>
      <c r="Z27" s="367">
        <f>Model!N14</f>
        <v>0.70229245421434139</v>
      </c>
      <c r="AA27" s="367">
        <f>Model!O14</f>
        <v>0.68619904758574113</v>
      </c>
      <c r="AB27" s="368">
        <f>Model!P14</f>
        <v>0.66554853983665596</v>
      </c>
    </row>
    <row r="28" spans="1:28" ht="13.95" customHeight="1" x14ac:dyDescent="0.3">
      <c r="A28" s="31"/>
      <c r="B28" s="50" t="s">
        <v>94</v>
      </c>
      <c r="C28" s="51"/>
      <c r="D28" s="388">
        <v>9702</v>
      </c>
      <c r="E28" s="388">
        <v>-5745</v>
      </c>
      <c r="F28" s="388">
        <v>1304</v>
      </c>
      <c r="G28" s="388">
        <v>9770</v>
      </c>
      <c r="H28" s="388">
        <v>96729</v>
      </c>
      <c r="I28" s="388">
        <v>112554.22485863991</v>
      </c>
      <c r="J28" s="388">
        <v>56826.881462355581</v>
      </c>
      <c r="K28" s="388">
        <v>31859.500917523626</v>
      </c>
      <c r="L28" s="388">
        <v>32004.948411033816</v>
      </c>
      <c r="M28" s="388">
        <v>27280.351427278169</v>
      </c>
      <c r="N28" s="389">
        <v>22385.847072270193</v>
      </c>
      <c r="O28" s="31"/>
      <c r="P28" s="31"/>
      <c r="Q28" s="83" t="s">
        <v>94</v>
      </c>
      <c r="R28" s="369">
        <f>Model!F15</f>
        <v>9702</v>
      </c>
      <c r="S28" s="369">
        <f>Model!G15</f>
        <v>-5745</v>
      </c>
      <c r="T28" s="369">
        <f>Model!H15</f>
        <v>1304</v>
      </c>
      <c r="U28" s="369">
        <f>Model!I15</f>
        <v>9770</v>
      </c>
      <c r="V28" s="369">
        <f>Model!J15</f>
        <v>96729</v>
      </c>
      <c r="W28" s="369">
        <f>Model!K15</f>
        <v>112554.22485863991</v>
      </c>
      <c r="X28" s="369">
        <f>Model!L15</f>
        <v>56826.881462355581</v>
      </c>
      <c r="Y28" s="369">
        <f>Model!M15</f>
        <v>31859.500917523626</v>
      </c>
      <c r="Z28" s="369">
        <f>Model!N15</f>
        <v>32004.948411033816</v>
      </c>
      <c r="AA28" s="369">
        <f>Model!O15</f>
        <v>27280.351427278169</v>
      </c>
      <c r="AB28" s="370">
        <f>Model!P15</f>
        <v>22385.847072270193</v>
      </c>
    </row>
    <row r="29" spans="1:28" ht="13.95" customHeight="1" x14ac:dyDescent="0.3">
      <c r="A29" s="31"/>
      <c r="B29" s="50" t="s">
        <v>95</v>
      </c>
      <c r="C29" s="51"/>
      <c r="D29" s="388">
        <v>8687</v>
      </c>
      <c r="E29" s="388">
        <v>-5833</v>
      </c>
      <c r="F29" s="388">
        <v>778</v>
      </c>
      <c r="G29" s="388">
        <v>8539</v>
      </c>
      <c r="H29" s="388">
        <v>82874.654999999999</v>
      </c>
      <c r="I29" s="388">
        <v>96992.877548042801</v>
      </c>
      <c r="J29" s="388">
        <v>51852.433002657272</v>
      </c>
      <c r="K29" s="388">
        <v>31942.905012703246</v>
      </c>
      <c r="L29" s="388">
        <v>32864.859647911202</v>
      </c>
      <c r="M29" s="388">
        <v>29651.694447399648</v>
      </c>
      <c r="N29" s="389">
        <v>26305.501936718523</v>
      </c>
      <c r="O29" s="31"/>
      <c r="P29" s="31"/>
      <c r="Q29" s="83" t="s">
        <v>95</v>
      </c>
      <c r="R29" s="369">
        <f>Schedules!F281</f>
        <v>8687</v>
      </c>
      <c r="S29" s="369">
        <f>Schedules!G281</f>
        <v>-5833</v>
      </c>
      <c r="T29" s="369">
        <f>Schedules!H281</f>
        <v>778</v>
      </c>
      <c r="U29" s="369">
        <f>Schedules!I281</f>
        <v>8539</v>
      </c>
      <c r="V29" s="369">
        <f>Schedules!J281</f>
        <v>82874.654999999999</v>
      </c>
      <c r="W29" s="369">
        <f>Schedules!K281</f>
        <v>96992.877548042801</v>
      </c>
      <c r="X29" s="369">
        <f>Schedules!L281</f>
        <v>51852.433002657272</v>
      </c>
      <c r="Y29" s="369">
        <f>Schedules!M281</f>
        <v>31942.905012703246</v>
      </c>
      <c r="Z29" s="369">
        <f>Schedules!N281</f>
        <v>32864.859647911202</v>
      </c>
      <c r="AA29" s="369">
        <f>Schedules!O281</f>
        <v>29651.694447399648</v>
      </c>
      <c r="AB29" s="370">
        <f>Schedules!P281</f>
        <v>26305.501936718523</v>
      </c>
    </row>
    <row r="30" spans="1:28" ht="13.95" customHeight="1" x14ac:dyDescent="0.3">
      <c r="A30" s="31"/>
      <c r="B30" s="50" t="s">
        <v>96</v>
      </c>
      <c r="C30" s="51"/>
      <c r="D30" s="390">
        <v>7.7424242424242422</v>
      </c>
      <c r="E30" s="390">
        <v>-5.3366880146386091</v>
      </c>
      <c r="F30" s="390">
        <v>0.69588550983899822</v>
      </c>
      <c r="G30" s="390">
        <v>7.5902222222222226</v>
      </c>
      <c r="H30" s="390">
        <v>72.064917391304348</v>
      </c>
      <c r="I30" s="390">
        <v>84.341632650472008</v>
      </c>
      <c r="J30" s="390">
        <v>45.089072176223716</v>
      </c>
      <c r="K30" s="390">
        <v>27.776439141481085</v>
      </c>
      <c r="L30" s="390">
        <v>28.57813882427061</v>
      </c>
      <c r="M30" s="390">
        <v>25.784082128173608</v>
      </c>
      <c r="N30" s="391">
        <v>22.874349510190019</v>
      </c>
      <c r="O30" s="31"/>
      <c r="P30" s="31"/>
      <c r="Q30" s="83" t="s">
        <v>96</v>
      </c>
      <c r="R30" s="371">
        <f>Schedules!F286</f>
        <v>7.7424242424242422</v>
      </c>
      <c r="S30" s="371">
        <f>Schedules!G286</f>
        <v>-5.3366880146386091</v>
      </c>
      <c r="T30" s="371">
        <f>Schedules!H286</f>
        <v>0.69588550983899822</v>
      </c>
      <c r="U30" s="371">
        <f>Schedules!I286</f>
        <v>7.5902222222222226</v>
      </c>
      <c r="V30" s="371">
        <f>Schedules!J286</f>
        <v>72.064917391304348</v>
      </c>
      <c r="W30" s="371">
        <f>Schedules!K286</f>
        <v>84.341632650472008</v>
      </c>
      <c r="X30" s="371">
        <f>Schedules!L286</f>
        <v>45.089072176223716</v>
      </c>
      <c r="Y30" s="371">
        <f>Schedules!M286</f>
        <v>27.776439141481085</v>
      </c>
      <c r="Z30" s="371">
        <f>Schedules!N286</f>
        <v>28.57813882427061</v>
      </c>
      <c r="AA30" s="371">
        <f>Schedules!O286</f>
        <v>25.784082128173608</v>
      </c>
      <c r="AB30" s="372">
        <f>Schedules!P286</f>
        <v>22.874349510190019</v>
      </c>
    </row>
    <row r="31" spans="1:28" ht="13.95" customHeight="1" x14ac:dyDescent="0.3">
      <c r="A31" s="31"/>
      <c r="B31" s="50" t="s">
        <v>97</v>
      </c>
      <c r="C31" s="51"/>
      <c r="D31" s="388">
        <v>12067</v>
      </c>
      <c r="E31" s="388">
        <v>7676</v>
      </c>
      <c r="F31" s="388">
        <v>8386</v>
      </c>
      <c r="G31" s="388">
        <v>15857</v>
      </c>
      <c r="H31" s="388">
        <v>30985.333333333332</v>
      </c>
      <c r="I31" s="388">
        <v>36416.904809596686</v>
      </c>
      <c r="J31" s="388">
        <v>32247.169208897867</v>
      </c>
      <c r="K31" s="388">
        <v>26593.133943187589</v>
      </c>
      <c r="L31" s="388">
        <v>25496.196097919266</v>
      </c>
      <c r="M31" s="388">
        <v>24865.97466991299</v>
      </c>
      <c r="N31" s="389">
        <v>24251.765671348869</v>
      </c>
      <c r="O31" s="31"/>
      <c r="P31" s="31"/>
      <c r="Q31" s="83" t="s">
        <v>97</v>
      </c>
      <c r="R31" s="369">
        <f>-Schedules!F307</f>
        <v>12067</v>
      </c>
      <c r="S31" s="369">
        <f>-Schedules!G307</f>
        <v>7676</v>
      </c>
      <c r="T31" s="369">
        <f>-Schedules!H307</f>
        <v>8386</v>
      </c>
      <c r="U31" s="369">
        <f>-Schedules!I307</f>
        <v>15857</v>
      </c>
      <c r="V31" s="369">
        <f>-Schedules!J307</f>
        <v>30985.333333333332</v>
      </c>
      <c r="W31" s="369">
        <f>-Schedules!K307</f>
        <v>36416.904809596686</v>
      </c>
      <c r="X31" s="369">
        <f>-Schedules!L307</f>
        <v>32247.169208897867</v>
      </c>
      <c r="Y31" s="369">
        <f>-Schedules!M307</f>
        <v>26593.133943187589</v>
      </c>
      <c r="Z31" s="369">
        <f>-Schedules!N307</f>
        <v>25496.196097919266</v>
      </c>
      <c r="AA31" s="369">
        <f>-Schedules!O307</f>
        <v>24865.97466991299</v>
      </c>
      <c r="AB31" s="370">
        <f>-Schedules!P307</f>
        <v>24251.765671348869</v>
      </c>
    </row>
    <row r="32" spans="1:28" ht="13.95" customHeight="1" x14ac:dyDescent="0.3">
      <c r="A32" s="31"/>
      <c r="B32" s="58" t="s">
        <v>98</v>
      </c>
      <c r="C32" s="59"/>
      <c r="D32" s="60">
        <v>0.39232069705442485</v>
      </c>
      <c r="E32" s="60">
        <v>0.49395109395109393</v>
      </c>
      <c r="F32" s="60">
        <v>0.33395722989924737</v>
      </c>
      <c r="G32" s="60">
        <v>0.42423350634062817</v>
      </c>
      <c r="H32" s="60">
        <v>0.24027274818611599</v>
      </c>
      <c r="I32" s="60">
        <v>0.25</v>
      </c>
      <c r="J32" s="60">
        <v>0.35</v>
      </c>
      <c r="K32" s="60">
        <v>0.38</v>
      </c>
      <c r="L32" s="60">
        <v>0.35</v>
      </c>
      <c r="M32" s="60">
        <v>0.35</v>
      </c>
      <c r="N32" s="61">
        <v>0.35</v>
      </c>
      <c r="O32" s="31"/>
      <c r="P32" s="31"/>
      <c r="Q32" s="58" t="s">
        <v>98</v>
      </c>
      <c r="R32" s="60">
        <f t="shared" ref="R32:AB32" si="1">R31/R22</f>
        <v>0.39232069705442485</v>
      </c>
      <c r="S32" s="60">
        <f t="shared" si="1"/>
        <v>0.49395109395109393</v>
      </c>
      <c r="T32" s="60">
        <f t="shared" si="1"/>
        <v>0.33395722989924737</v>
      </c>
      <c r="U32" s="60">
        <f t="shared" si="1"/>
        <v>0.42423350634062817</v>
      </c>
      <c r="V32" s="60">
        <f t="shared" si="1"/>
        <v>0.24027274818611599</v>
      </c>
      <c r="W32" s="60">
        <f t="shared" si="1"/>
        <v>0.25</v>
      </c>
      <c r="X32" s="60">
        <f t="shared" si="1"/>
        <v>0.35</v>
      </c>
      <c r="Y32" s="60">
        <f t="shared" si="1"/>
        <v>0.38</v>
      </c>
      <c r="Z32" s="60">
        <f t="shared" si="1"/>
        <v>0.35</v>
      </c>
      <c r="AA32" s="60">
        <f t="shared" si="1"/>
        <v>0.35</v>
      </c>
      <c r="AB32" s="61">
        <f t="shared" si="1"/>
        <v>0.35</v>
      </c>
    </row>
    <row r="33" spans="1:28" ht="13.95" customHeight="1" x14ac:dyDescent="0.3">
      <c r="A33" s="31"/>
      <c r="B33" s="50" t="s">
        <v>99</v>
      </c>
      <c r="C33" s="51"/>
      <c r="D33" s="388">
        <v>2310.8457841395884</v>
      </c>
      <c r="E33" s="388">
        <v>-7228.7216330858964</v>
      </c>
      <c r="F33" s="388">
        <v>-1615.2774193548394</v>
      </c>
      <c r="G33" s="388">
        <v>2738.4943028796333</v>
      </c>
      <c r="H33" s="388">
        <v>42180.470501202777</v>
      </c>
      <c r="I33" s="388">
        <v>74252.157832427649</v>
      </c>
      <c r="J33" s="388">
        <v>41335.314497593456</v>
      </c>
      <c r="K33" s="388">
        <v>22806.999867168306</v>
      </c>
      <c r="L33" s="388">
        <v>22240.668793256984</v>
      </c>
      <c r="M33" s="388">
        <v>21875.469940598836</v>
      </c>
      <c r="N33" s="389">
        <v>20519.229228584867</v>
      </c>
      <c r="O33" s="31"/>
      <c r="P33" s="31"/>
      <c r="Q33" s="83" t="s">
        <v>99</v>
      </c>
      <c r="R33" s="369">
        <f>Model!F25</f>
        <v>2310.8457841395884</v>
      </c>
      <c r="S33" s="369">
        <f>Model!G25</f>
        <v>-7228.7216330858964</v>
      </c>
      <c r="T33" s="369">
        <f>Model!H25</f>
        <v>-1615.2774193548394</v>
      </c>
      <c r="U33" s="369">
        <f>Model!I25</f>
        <v>2738.4943028796333</v>
      </c>
      <c r="V33" s="369">
        <f>Model!J25</f>
        <v>42180.470501202777</v>
      </c>
      <c r="W33" s="369">
        <f>Model!K25</f>
        <v>74252.157832427649</v>
      </c>
      <c r="X33" s="369">
        <f>Model!L25</f>
        <v>41335.314497593456</v>
      </c>
      <c r="Y33" s="369">
        <f>Model!M25</f>
        <v>22806.999867168306</v>
      </c>
      <c r="Z33" s="369">
        <f>Model!N25</f>
        <v>22240.668793256984</v>
      </c>
      <c r="AA33" s="369">
        <f>Model!O25</f>
        <v>21875.469940598836</v>
      </c>
      <c r="AB33" s="370">
        <f>Model!P25</f>
        <v>20519.229228584867</v>
      </c>
    </row>
    <row r="34" spans="1:28" ht="13.95" customHeight="1" x14ac:dyDescent="0.3">
      <c r="A34" s="31"/>
      <c r="B34" s="53" t="s">
        <v>100</v>
      </c>
      <c r="C34" s="54"/>
      <c r="D34" s="392">
        <v>-0.24212153644904269</v>
      </c>
      <c r="E34" s="392">
        <v>1.4380905022376926</v>
      </c>
      <c r="F34" s="392">
        <v>0.46730515191545574</v>
      </c>
      <c r="G34" s="392">
        <v>0.14573446639443771</v>
      </c>
      <c r="H34" s="392">
        <v>-0.4325387436900478</v>
      </c>
      <c r="I34" s="392">
        <v>-0.97758615946586824</v>
      </c>
      <c r="J34" s="392">
        <v>-2.3251929274626044</v>
      </c>
      <c r="K34" s="392">
        <v>-3.9417790540163393</v>
      </c>
      <c r="L34" s="392">
        <v>-4.2733834334655878</v>
      </c>
      <c r="M34" s="392">
        <v>-5.0450255878339894</v>
      </c>
      <c r="N34" s="393">
        <v>-5.9119542461434387</v>
      </c>
      <c r="O34" s="31"/>
      <c r="P34" s="31"/>
      <c r="Q34" s="84" t="s">
        <v>100</v>
      </c>
      <c r="R34" s="373">
        <f>Model!F49</f>
        <v>-0.24212153644904269</v>
      </c>
      <c r="S34" s="373">
        <f>Model!G49</f>
        <v>1.4380905022376926</v>
      </c>
      <c r="T34" s="373">
        <f>Model!H49</f>
        <v>0.46730515191545574</v>
      </c>
      <c r="U34" s="373">
        <f>Model!I49</f>
        <v>0.14573446639443771</v>
      </c>
      <c r="V34" s="373">
        <f>Model!J49</f>
        <v>-0.4325387436900478</v>
      </c>
      <c r="W34" s="373">
        <f>Model!K49</f>
        <v>-0.97758615946586824</v>
      </c>
      <c r="X34" s="373">
        <f>Model!L49</f>
        <v>-2.3251929274626044</v>
      </c>
      <c r="Y34" s="373">
        <f>Model!M49</f>
        <v>-3.9417790540163393</v>
      </c>
      <c r="Z34" s="373">
        <f>Model!N49</f>
        <v>-4.2733834334655878</v>
      </c>
      <c r="AA34" s="373">
        <f>Model!O49</f>
        <v>-5.0450255878339894</v>
      </c>
      <c r="AB34" s="374">
        <f>Model!P49</f>
        <v>-5.9119542461434387</v>
      </c>
    </row>
    <row r="35" spans="1:28" ht="7.95" customHeight="1" x14ac:dyDescent="0.3">
      <c r="A35" s="31"/>
      <c r="B35" s="31"/>
      <c r="C35" s="31"/>
      <c r="D35" s="31"/>
      <c r="E35" s="31"/>
      <c r="F35" s="31"/>
      <c r="G35" s="32"/>
      <c r="H35" s="32"/>
      <c r="I35" s="31"/>
      <c r="J35" s="31"/>
      <c r="K35" s="31"/>
      <c r="L35" s="31"/>
      <c r="M35" s="31"/>
      <c r="N35" s="31"/>
      <c r="O35" s="31"/>
      <c r="P35" s="31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22.05" customHeight="1" x14ac:dyDescent="0.35">
      <c r="A36" s="31"/>
      <c r="B36" s="34" t="s">
        <v>103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1"/>
      <c r="P36" s="31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28" ht="15.6" customHeight="1" thickBot="1" x14ac:dyDescent="0.35">
      <c r="A37" s="31"/>
      <c r="B37" s="81"/>
      <c r="C37" s="82"/>
      <c r="D37" s="82"/>
      <c r="E37" s="82"/>
      <c r="F37" s="82"/>
      <c r="G37" s="86"/>
      <c r="H37" s="404" t="s">
        <v>126</v>
      </c>
      <c r="I37" s="402"/>
      <c r="J37" s="402"/>
      <c r="K37" s="402"/>
      <c r="L37" s="402"/>
      <c r="M37" s="402"/>
      <c r="N37" s="403"/>
      <c r="O37" s="31"/>
      <c r="P37" s="31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28" ht="18" customHeight="1" thickBot="1" x14ac:dyDescent="0.35">
      <c r="A38" s="31"/>
      <c r="B38" s="90" t="s">
        <v>77</v>
      </c>
      <c r="C38" s="97" t="s">
        <v>102</v>
      </c>
      <c r="D38" s="93" t="str">
        <f t="shared" ref="D38:N38" si="2">R$21</f>
        <v>FY2022A</v>
      </c>
      <c r="E38" s="93" t="str">
        <f t="shared" si="2"/>
        <v>FY2023A</v>
      </c>
      <c r="F38" s="93" t="str">
        <f t="shared" si="2"/>
        <v>FY2024A</v>
      </c>
      <c r="G38" s="93" t="str">
        <f t="shared" si="2"/>
        <v>FY2025A</v>
      </c>
      <c r="H38" s="94" t="str">
        <f t="shared" si="2"/>
        <v>FY2026E</v>
      </c>
      <c r="I38" s="95" t="str">
        <f t="shared" si="2"/>
        <v>FY2027E</v>
      </c>
      <c r="J38" s="95" t="str">
        <f t="shared" si="2"/>
        <v>FY2028E</v>
      </c>
      <c r="K38" s="95" t="str">
        <f t="shared" si="2"/>
        <v>FY2029E</v>
      </c>
      <c r="L38" s="95" t="str">
        <f t="shared" si="2"/>
        <v>FY2030E</v>
      </c>
      <c r="M38" s="95" t="str">
        <f t="shared" si="2"/>
        <v>FY2031E</v>
      </c>
      <c r="N38" s="96" t="str">
        <f t="shared" si="2"/>
        <v>FY2032E</v>
      </c>
      <c r="O38" s="31"/>
      <c r="P38" s="31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13.95" customHeight="1" x14ac:dyDescent="0.3">
      <c r="A39" s="31"/>
      <c r="B39" s="87" t="s">
        <v>89</v>
      </c>
      <c r="C39" s="88"/>
      <c r="D39" s="386">
        <v>30758</v>
      </c>
      <c r="E39" s="386">
        <v>15540</v>
      </c>
      <c r="F39" s="386">
        <v>25111</v>
      </c>
      <c r="G39" s="386">
        <v>37378</v>
      </c>
      <c r="H39" s="386">
        <v>128959</v>
      </c>
      <c r="I39" s="386">
        <v>180920.79340692563</v>
      </c>
      <c r="J39" s="386">
        <v>160114.90216512917</v>
      </c>
      <c r="K39" s="386">
        <v>114176.91404865061</v>
      </c>
      <c r="L39" s="386">
        <v>107466.58389665802</v>
      </c>
      <c r="M39" s="386">
        <v>110418.3497187046</v>
      </c>
      <c r="N39" s="387">
        <v>112695.56556264362</v>
      </c>
      <c r="O39" s="31"/>
      <c r="P39" s="31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13.95" customHeight="1" x14ac:dyDescent="0.3">
      <c r="A40" s="31"/>
      <c r="B40" s="58" t="s">
        <v>90</v>
      </c>
      <c r="C40" s="59"/>
      <c r="D40" s="60"/>
      <c r="E40" s="60">
        <v>-0.4947655894401457</v>
      </c>
      <c r="F40" s="60">
        <v>0.61589446589446584</v>
      </c>
      <c r="G40" s="60">
        <v>0.48851101111066852</v>
      </c>
      <c r="H40" s="60">
        <v>2.450131093156402</v>
      </c>
      <c r="I40" s="60">
        <v>0.40293266392361637</v>
      </c>
      <c r="J40" s="60">
        <v>-0.1150000000000001</v>
      </c>
      <c r="K40" s="60">
        <v>-0.28690638719625206</v>
      </c>
      <c r="L40" s="60">
        <v>-5.8771339266826983E-2</v>
      </c>
      <c r="M40" s="60">
        <v>2.746682470976336E-2</v>
      </c>
      <c r="N40" s="61">
        <v>2.0623527246515838E-2</v>
      </c>
      <c r="O40" s="31"/>
      <c r="P40" s="31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13.95" customHeight="1" x14ac:dyDescent="0.3">
      <c r="A41" s="31"/>
      <c r="B41" s="50" t="s">
        <v>91</v>
      </c>
      <c r="C41" s="51"/>
      <c r="D41" s="388">
        <v>13898</v>
      </c>
      <c r="E41" s="388">
        <v>-1416</v>
      </c>
      <c r="F41" s="388">
        <v>5613</v>
      </c>
      <c r="G41" s="388">
        <v>14873</v>
      </c>
      <c r="H41" s="388">
        <v>103457</v>
      </c>
      <c r="I41" s="388">
        <v>154102.38998106096</v>
      </c>
      <c r="J41" s="388">
        <v>131000.84340601048</v>
      </c>
      <c r="K41" s="388">
        <v>82343.305054639088</v>
      </c>
      <c r="L41" s="388">
        <v>73009.472962960528</v>
      </c>
      <c r="M41" s="388">
        <v>73117.394219024602</v>
      </c>
      <c r="N41" s="389">
        <v>72585.186146452761</v>
      </c>
      <c r="O41" s="31"/>
      <c r="P41" s="31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13.95" customHeight="1" x14ac:dyDescent="0.3">
      <c r="A42" s="31"/>
      <c r="B42" s="58" t="s">
        <v>92</v>
      </c>
      <c r="C42" s="59"/>
      <c r="D42" s="60">
        <v>0.45184992522270628</v>
      </c>
      <c r="E42" s="60">
        <v>-9.1119691119691121E-2</v>
      </c>
      <c r="F42" s="60">
        <v>0.22352753773246783</v>
      </c>
      <c r="G42" s="60">
        <v>0.39790786023864305</v>
      </c>
      <c r="H42" s="60">
        <v>0.80224722586248343</v>
      </c>
      <c r="I42" s="60">
        <v>0.85176715776641032</v>
      </c>
      <c r="J42" s="60">
        <v>0.81816771352679662</v>
      </c>
      <c r="K42" s="60">
        <v>0.72119049407442148</v>
      </c>
      <c r="L42" s="60">
        <v>0.67936906818558473</v>
      </c>
      <c r="M42" s="60">
        <v>0.66218517488528172</v>
      </c>
      <c r="N42" s="61">
        <v>0.64408200787727654</v>
      </c>
      <c r="O42" s="31"/>
      <c r="P42" s="31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spans="1:28" ht="13.95" customHeight="1" x14ac:dyDescent="0.3">
      <c r="A43" s="31"/>
      <c r="B43" s="50" t="s">
        <v>93</v>
      </c>
      <c r="C43" s="51"/>
      <c r="D43" s="388">
        <v>16818</v>
      </c>
      <c r="E43" s="388">
        <v>2011</v>
      </c>
      <c r="F43" s="388">
        <v>9084</v>
      </c>
      <c r="G43" s="388">
        <v>18122</v>
      </c>
      <c r="H43" s="388">
        <v>105878.33333333333</v>
      </c>
      <c r="I43" s="388">
        <v>157845.89041154459</v>
      </c>
      <c r="J43" s="388">
        <v>137939.91427148186</v>
      </c>
      <c r="K43" s="388">
        <v>92260.582035502332</v>
      </c>
      <c r="L43" s="388">
        <v>85252.082523741614</v>
      </c>
      <c r="M43" s="388">
        <v>87447.657180073875</v>
      </c>
      <c r="N43" s="389">
        <v>88986.66306583547</v>
      </c>
      <c r="O43" s="31"/>
      <c r="P43" s="31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ht="13.95" customHeight="1" x14ac:dyDescent="0.3">
      <c r="A44" s="31"/>
      <c r="B44" s="58" t="s">
        <v>92</v>
      </c>
      <c r="C44" s="59"/>
      <c r="D44" s="60">
        <v>0.54678457637037514</v>
      </c>
      <c r="E44" s="60">
        <v>0.12940797940797941</v>
      </c>
      <c r="F44" s="60">
        <v>0.36175381306996934</v>
      </c>
      <c r="G44" s="60">
        <v>0.4848306490448927</v>
      </c>
      <c r="H44" s="60">
        <v>0.82102321926607158</v>
      </c>
      <c r="I44" s="60">
        <v>0.87245853524707273</v>
      </c>
      <c r="J44" s="60">
        <v>0.86150578369789788</v>
      </c>
      <c r="K44" s="60">
        <v>0.80804935747510431</v>
      </c>
      <c r="L44" s="60">
        <v>0.79328922007720737</v>
      </c>
      <c r="M44" s="60">
        <v>0.79196671026917598</v>
      </c>
      <c r="N44" s="61">
        <v>0.78961991646752794</v>
      </c>
      <c r="O44" s="31"/>
      <c r="P44" s="31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3.95" customHeight="1" x14ac:dyDescent="0.3">
      <c r="A45" s="31"/>
      <c r="B45" s="50" t="s">
        <v>94</v>
      </c>
      <c r="C45" s="51"/>
      <c r="D45" s="388">
        <v>9702</v>
      </c>
      <c r="E45" s="388">
        <v>-5745</v>
      </c>
      <c r="F45" s="388">
        <v>1304</v>
      </c>
      <c r="G45" s="388">
        <v>9770</v>
      </c>
      <c r="H45" s="388">
        <v>96729</v>
      </c>
      <c r="I45" s="388">
        <v>146797.01960131412</v>
      </c>
      <c r="J45" s="388">
        <v>122997.84509208643</v>
      </c>
      <c r="K45" s="388">
        <v>73575.548741423903</v>
      </c>
      <c r="L45" s="388">
        <v>63403.326197093185</v>
      </c>
      <c r="M45" s="388">
        <v>62592.088769533439</v>
      </c>
      <c r="N45" s="389">
        <v>61052.122624412426</v>
      </c>
      <c r="O45" s="31"/>
      <c r="P45" s="31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28" ht="13.95" customHeight="1" x14ac:dyDescent="0.3">
      <c r="A46" s="31"/>
      <c r="B46" s="50" t="s">
        <v>95</v>
      </c>
      <c r="C46" s="51"/>
      <c r="D46" s="388">
        <v>8687</v>
      </c>
      <c r="E46" s="388">
        <v>-5833</v>
      </c>
      <c r="F46" s="388">
        <v>778</v>
      </c>
      <c r="G46" s="388">
        <v>8539</v>
      </c>
      <c r="H46" s="388">
        <v>82874.654999999999</v>
      </c>
      <c r="I46" s="388">
        <v>126099.25307931588</v>
      </c>
      <c r="J46" s="388">
        <v>108700.18470373741</v>
      </c>
      <c r="K46" s="388">
        <v>69214.779272570348</v>
      </c>
      <c r="L46" s="388">
        <v>62375.018322323755</v>
      </c>
      <c r="M46" s="388">
        <v>63306.298018983405</v>
      </c>
      <c r="N46" s="389">
        <v>63661.540507705293</v>
      </c>
      <c r="O46" s="31"/>
      <c r="P46" s="31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3.95" customHeight="1" x14ac:dyDescent="0.3">
      <c r="A47" s="31"/>
      <c r="B47" s="50" t="s">
        <v>96</v>
      </c>
      <c r="C47" s="51"/>
      <c r="D47" s="390">
        <v>7.7424242424242422</v>
      </c>
      <c r="E47" s="390">
        <v>-5.3366880146386091</v>
      </c>
      <c r="F47" s="390">
        <v>0.69588550983899822</v>
      </c>
      <c r="G47" s="390">
        <v>7.5902222222222226</v>
      </c>
      <c r="H47" s="390">
        <v>72.064917391304348</v>
      </c>
      <c r="I47" s="390">
        <v>109.65152441679642</v>
      </c>
      <c r="J47" s="390">
        <v>94.521899742380356</v>
      </c>
      <c r="K47" s="390">
        <v>60.186764584843779</v>
      </c>
      <c r="L47" s="390">
        <v>54.23914636723805</v>
      </c>
      <c r="M47" s="390">
        <v>55.048954799116004</v>
      </c>
      <c r="N47" s="391">
        <v>55.357861311048083</v>
      </c>
      <c r="O47" s="31"/>
      <c r="P47" s="31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ht="13.95" customHeight="1" x14ac:dyDescent="0.3">
      <c r="A48" s="31"/>
      <c r="B48" s="50" t="s">
        <v>97</v>
      </c>
      <c r="C48" s="51"/>
      <c r="D48" s="388">
        <v>12067</v>
      </c>
      <c r="E48" s="388">
        <v>7676</v>
      </c>
      <c r="F48" s="388">
        <v>8386</v>
      </c>
      <c r="G48" s="388">
        <v>15857</v>
      </c>
      <c r="H48" s="388">
        <v>30985.333333333332</v>
      </c>
      <c r="I48" s="388">
        <v>39802.574549523641</v>
      </c>
      <c r="J48" s="388">
        <v>44832.17260623617</v>
      </c>
      <c r="K48" s="388">
        <v>36536.612495568195</v>
      </c>
      <c r="L48" s="388">
        <v>32239.975168997404</v>
      </c>
      <c r="M48" s="388">
        <v>33125.504915611382</v>
      </c>
      <c r="N48" s="389">
        <v>33808.669668793082</v>
      </c>
      <c r="O48" s="31"/>
      <c r="P48" s="31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ht="13.95" customHeight="1" x14ac:dyDescent="0.3">
      <c r="A49" s="31"/>
      <c r="B49" s="58" t="s">
        <v>98</v>
      </c>
      <c r="C49" s="59"/>
      <c r="D49" s="60">
        <v>0.39232069705442485</v>
      </c>
      <c r="E49" s="60">
        <v>0.49395109395109393</v>
      </c>
      <c r="F49" s="60">
        <v>0.33395722989924737</v>
      </c>
      <c r="G49" s="60">
        <v>0.42423350634062817</v>
      </c>
      <c r="H49" s="60">
        <v>0.24027274818611599</v>
      </c>
      <c r="I49" s="60">
        <v>0.22</v>
      </c>
      <c r="J49" s="60">
        <v>0.28000000000000003</v>
      </c>
      <c r="K49" s="60">
        <v>0.32</v>
      </c>
      <c r="L49" s="60">
        <v>0.3</v>
      </c>
      <c r="M49" s="60">
        <v>0.3</v>
      </c>
      <c r="N49" s="61">
        <v>0.3</v>
      </c>
      <c r="O49" s="31"/>
      <c r="P49" s="31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ht="13.95" customHeight="1" x14ac:dyDescent="0.3">
      <c r="A50" s="31"/>
      <c r="B50" s="50" t="s">
        <v>99</v>
      </c>
      <c r="C50" s="51"/>
      <c r="D50" s="388">
        <v>2310.8457841395884</v>
      </c>
      <c r="E50" s="388">
        <v>-7228.7216330858964</v>
      </c>
      <c r="F50" s="388">
        <v>-1615.2774193548394</v>
      </c>
      <c r="G50" s="388">
        <v>2738.4943028796333</v>
      </c>
      <c r="H50" s="388">
        <v>42180.470501202777</v>
      </c>
      <c r="I50" s="388">
        <v>94501.993657937943</v>
      </c>
      <c r="J50" s="388">
        <v>81432.074948773763</v>
      </c>
      <c r="K50" s="388">
        <v>54886.335894934979</v>
      </c>
      <c r="L50" s="388">
        <v>46917.930376648452</v>
      </c>
      <c r="M50" s="388">
        <v>46809.877429228931</v>
      </c>
      <c r="N50" s="389">
        <v>48065.740808261398</v>
      </c>
      <c r="O50" s="31"/>
      <c r="P50" s="31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13.95" customHeight="1" x14ac:dyDescent="0.3">
      <c r="A51" s="31"/>
      <c r="B51" s="53" t="s">
        <v>100</v>
      </c>
      <c r="C51" s="54"/>
      <c r="D51" s="392">
        <v>-0.24212153644904269</v>
      </c>
      <c r="E51" s="392">
        <v>1.4380905022376926</v>
      </c>
      <c r="F51" s="392">
        <v>0.46730515191545574</v>
      </c>
      <c r="G51" s="392">
        <v>0.14573446639443771</v>
      </c>
      <c r="H51" s="392">
        <v>-0.4325387436900478</v>
      </c>
      <c r="I51" s="392">
        <v>-0.89283452988666157</v>
      </c>
      <c r="J51" s="392">
        <v>-1.6366209438122294</v>
      </c>
      <c r="K51" s="392">
        <v>-3.1051435521122746</v>
      </c>
      <c r="L51" s="392">
        <v>-3.9994809834487564</v>
      </c>
      <c r="M51" s="392">
        <v>-4.5383348924943983</v>
      </c>
      <c r="N51" s="393">
        <v>-5.1197388837400641</v>
      </c>
      <c r="O51" s="31"/>
      <c r="P51" s="31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7.95" customHeight="1" x14ac:dyDescent="0.3">
      <c r="A52" s="31"/>
      <c r="B52" s="31"/>
      <c r="C52" s="31"/>
      <c r="D52" s="31"/>
      <c r="E52" s="31"/>
      <c r="F52" s="31"/>
      <c r="G52" s="32"/>
      <c r="H52" s="32"/>
      <c r="I52" s="31"/>
      <c r="J52" s="31"/>
      <c r="K52" s="31"/>
      <c r="L52" s="31"/>
      <c r="M52" s="31"/>
      <c r="N52" s="31"/>
      <c r="O52" s="31"/>
      <c r="P52" s="31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22.05" customHeight="1" x14ac:dyDescent="0.35">
      <c r="A53" s="31"/>
      <c r="B53" s="85" t="s">
        <v>104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31"/>
      <c r="P53" s="31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16.05" customHeight="1" thickBot="1" x14ac:dyDescent="0.35">
      <c r="A54" s="31"/>
      <c r="B54" s="81"/>
      <c r="C54" s="82"/>
      <c r="D54" s="82"/>
      <c r="E54" s="82"/>
      <c r="F54" s="82"/>
      <c r="G54" s="86"/>
      <c r="H54" s="404" t="s">
        <v>126</v>
      </c>
      <c r="I54" s="402"/>
      <c r="J54" s="402"/>
      <c r="K54" s="402"/>
      <c r="L54" s="402"/>
      <c r="M54" s="402"/>
      <c r="N54" s="403"/>
      <c r="O54" s="31"/>
      <c r="P54" s="31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18" customHeight="1" thickBot="1" x14ac:dyDescent="0.35">
      <c r="A55" s="31"/>
      <c r="B55" s="90" t="s">
        <v>77</v>
      </c>
      <c r="C55" s="97" t="s">
        <v>102</v>
      </c>
      <c r="D55" s="93" t="str">
        <f t="shared" ref="D55:N55" si="3">R$21</f>
        <v>FY2022A</v>
      </c>
      <c r="E55" s="93" t="str">
        <f t="shared" si="3"/>
        <v>FY2023A</v>
      </c>
      <c r="F55" s="93" t="str">
        <f t="shared" si="3"/>
        <v>FY2024A</v>
      </c>
      <c r="G55" s="93" t="str">
        <f t="shared" si="3"/>
        <v>FY2025A</v>
      </c>
      <c r="H55" s="94" t="str">
        <f t="shared" si="3"/>
        <v>FY2026E</v>
      </c>
      <c r="I55" s="95" t="str">
        <f t="shared" si="3"/>
        <v>FY2027E</v>
      </c>
      <c r="J55" s="95" t="str">
        <f t="shared" si="3"/>
        <v>FY2028E</v>
      </c>
      <c r="K55" s="95" t="str">
        <f t="shared" si="3"/>
        <v>FY2029E</v>
      </c>
      <c r="L55" s="95" t="str">
        <f t="shared" si="3"/>
        <v>FY2030E</v>
      </c>
      <c r="M55" s="95" t="str">
        <f t="shared" si="3"/>
        <v>FY2031E</v>
      </c>
      <c r="N55" s="96" t="str">
        <f t="shared" si="3"/>
        <v>FY2032E</v>
      </c>
      <c r="O55" s="31"/>
      <c r="P55" s="31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13.95" customHeight="1" x14ac:dyDescent="0.3">
      <c r="A56" s="31"/>
      <c r="B56" s="87" t="s">
        <v>89</v>
      </c>
      <c r="C56" s="88"/>
      <c r="D56" s="386">
        <v>30758</v>
      </c>
      <c r="E56" s="386">
        <v>15540</v>
      </c>
      <c r="F56" s="386">
        <v>25111</v>
      </c>
      <c r="G56" s="386">
        <v>37378</v>
      </c>
      <c r="H56" s="386">
        <v>128959</v>
      </c>
      <c r="I56" s="386">
        <v>99989.595421882666</v>
      </c>
      <c r="J56" s="386">
        <v>55213.393762209802</v>
      </c>
      <c r="K56" s="386">
        <v>44704.462724063887</v>
      </c>
      <c r="L56" s="386">
        <v>51165.796358547719</v>
      </c>
      <c r="M56" s="386">
        <v>49779.527600604008</v>
      </c>
      <c r="N56" s="387">
        <v>48433.434981148159</v>
      </c>
      <c r="O56" s="31"/>
      <c r="P56" s="31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3.95" customHeight="1" x14ac:dyDescent="0.3">
      <c r="A57" s="31"/>
      <c r="B57" s="58" t="s">
        <v>90</v>
      </c>
      <c r="C57" s="59"/>
      <c r="D57" s="60"/>
      <c r="E57" s="60">
        <v>-0.4947655894401457</v>
      </c>
      <c r="F57" s="60">
        <v>0.61589446589446584</v>
      </c>
      <c r="G57" s="60">
        <v>0.48851101111066852</v>
      </c>
      <c r="H57" s="60">
        <v>2.450131093156402</v>
      </c>
      <c r="I57" s="60">
        <v>-0.22464042508174953</v>
      </c>
      <c r="J57" s="60">
        <v>-0.44780860919328835</v>
      </c>
      <c r="K57" s="60">
        <v>-0.1903330029558632</v>
      </c>
      <c r="L57" s="60">
        <v>0.14453442096745683</v>
      </c>
      <c r="M57" s="60">
        <v>-2.7093661324634533E-2</v>
      </c>
      <c r="N57" s="61">
        <v>-2.7041088663113722E-2</v>
      </c>
      <c r="O57" s="31"/>
      <c r="P57" s="31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ht="13.95" customHeight="1" x14ac:dyDescent="0.3">
      <c r="A58" s="31"/>
      <c r="B58" s="50" t="s">
        <v>91</v>
      </c>
      <c r="C58" s="51"/>
      <c r="D58" s="388">
        <v>13898</v>
      </c>
      <c r="E58" s="388">
        <v>-1416</v>
      </c>
      <c r="F58" s="388">
        <v>5613</v>
      </c>
      <c r="G58" s="388">
        <v>14873</v>
      </c>
      <c r="H58" s="388">
        <v>103457</v>
      </c>
      <c r="I58" s="388">
        <v>75354.663421882666</v>
      </c>
      <c r="J58" s="388">
        <v>30183.510613353672</v>
      </c>
      <c r="K58" s="388">
        <v>18069.318867692473</v>
      </c>
      <c r="L58" s="388">
        <v>23119.744523593698</v>
      </c>
      <c r="M58" s="388">
        <v>20246.24868690865</v>
      </c>
      <c r="N58" s="389">
        <v>17332.383748122942</v>
      </c>
      <c r="O58" s="31"/>
      <c r="P58" s="31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28" ht="13.95" customHeight="1" x14ac:dyDescent="0.3">
      <c r="A59" s="31"/>
      <c r="B59" s="58" t="s">
        <v>92</v>
      </c>
      <c r="C59" s="59"/>
      <c r="D59" s="60">
        <v>0.45184992522270628</v>
      </c>
      <c r="E59" s="60">
        <v>-9.1119691119691121E-2</v>
      </c>
      <c r="F59" s="60">
        <v>0.22352753773246783</v>
      </c>
      <c r="G59" s="60">
        <v>0.39790786023864305</v>
      </c>
      <c r="H59" s="60">
        <v>0.80224722586248343</v>
      </c>
      <c r="I59" s="60">
        <v>0.75362504572542099</v>
      </c>
      <c r="J59" s="60">
        <v>0.54667008413477458</v>
      </c>
      <c r="K59" s="60">
        <v>0.40419496771998942</v>
      </c>
      <c r="L59" s="60">
        <v>0.4518593703023901</v>
      </c>
      <c r="M59" s="60">
        <v>0.40671837726846949</v>
      </c>
      <c r="N59" s="61">
        <v>0.35785989069057894</v>
      </c>
      <c r="O59" s="31"/>
      <c r="P59" s="31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13.95" customHeight="1" x14ac:dyDescent="0.3">
      <c r="A60" s="31"/>
      <c r="B60" s="50" t="s">
        <v>93</v>
      </c>
      <c r="C60" s="51"/>
      <c r="D60" s="388">
        <v>16818</v>
      </c>
      <c r="E60" s="388">
        <v>2011</v>
      </c>
      <c r="F60" s="388">
        <v>9084</v>
      </c>
      <c r="G60" s="388">
        <v>18122</v>
      </c>
      <c r="H60" s="388">
        <v>105878.33333333333</v>
      </c>
      <c r="I60" s="388">
        <v>78647.101839910189</v>
      </c>
      <c r="J60" s="388">
        <v>35301.094764903704</v>
      </c>
      <c r="K60" s="388">
        <v>24490.444649217232</v>
      </c>
      <c r="L60" s="388">
        <v>30569.3128838517</v>
      </c>
      <c r="M60" s="388">
        <v>28634.052324391225</v>
      </c>
      <c r="N60" s="389">
        <v>26519.547824560595</v>
      </c>
      <c r="O60" s="31"/>
      <c r="P60" s="31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13.95" customHeight="1" x14ac:dyDescent="0.3">
      <c r="A61" s="31"/>
      <c r="B61" s="58" t="s">
        <v>92</v>
      </c>
      <c r="C61" s="59"/>
      <c r="D61" s="60">
        <v>0.54678457637037514</v>
      </c>
      <c r="E61" s="60">
        <v>0.12940797940797941</v>
      </c>
      <c r="F61" s="60">
        <v>0.36175381306996934</v>
      </c>
      <c r="G61" s="60">
        <v>0.4848306490448927</v>
      </c>
      <c r="H61" s="60">
        <v>0.82102321926607158</v>
      </c>
      <c r="I61" s="60">
        <v>0.78655285590542867</v>
      </c>
      <c r="J61" s="60">
        <v>0.63935745223227247</v>
      </c>
      <c r="K61" s="60">
        <v>0.54782997394204924</v>
      </c>
      <c r="L61" s="60">
        <v>0.5974560167037215</v>
      </c>
      <c r="M61" s="60">
        <v>0.57521743786182067</v>
      </c>
      <c r="N61" s="61">
        <v>0.54754629389558784</v>
      </c>
      <c r="O61" s="31"/>
      <c r="P61" s="31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3.95" customHeight="1" x14ac:dyDescent="0.3">
      <c r="A62" s="31"/>
      <c r="B62" s="50" t="s">
        <v>94</v>
      </c>
      <c r="C62" s="51"/>
      <c r="D62" s="388">
        <v>9702</v>
      </c>
      <c r="E62" s="388">
        <v>-5745</v>
      </c>
      <c r="F62" s="388">
        <v>1304</v>
      </c>
      <c r="G62" s="388">
        <v>9770</v>
      </c>
      <c r="H62" s="388">
        <v>96729</v>
      </c>
      <c r="I62" s="388">
        <v>68049.293042135832</v>
      </c>
      <c r="J62" s="388">
        <v>22180.512299429618</v>
      </c>
      <c r="K62" s="388">
        <v>9301.5625544772811</v>
      </c>
      <c r="L62" s="388">
        <v>13513.597757726353</v>
      </c>
      <c r="M62" s="388">
        <v>9720.9432374174849</v>
      </c>
      <c r="N62" s="389">
        <v>5799.320226082611</v>
      </c>
      <c r="O62" s="31"/>
      <c r="P62" s="31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13.95" customHeight="1" x14ac:dyDescent="0.3">
      <c r="A63" s="31"/>
      <c r="B63" s="50" t="s">
        <v>95</v>
      </c>
      <c r="C63" s="51"/>
      <c r="D63" s="388">
        <v>8687</v>
      </c>
      <c r="E63" s="388">
        <v>-5833</v>
      </c>
      <c r="F63" s="388">
        <v>778</v>
      </c>
      <c r="G63" s="388">
        <v>8539</v>
      </c>
      <c r="H63" s="388">
        <v>82874.654999999999</v>
      </c>
      <c r="I63" s="388">
        <v>59163.685504014342</v>
      </c>
      <c r="J63" s="388">
        <v>21671.45312612821</v>
      </c>
      <c r="K63" s="388">
        <v>11274.575839511463</v>
      </c>
      <c r="L63" s="388">
        <v>15113.204766715378</v>
      </c>
      <c r="M63" s="388">
        <v>12223.135022847971</v>
      </c>
      <c r="N63" s="389">
        <v>9244.4217083289877</v>
      </c>
      <c r="O63" s="31"/>
      <c r="P63" s="31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13.95" customHeight="1" x14ac:dyDescent="0.3">
      <c r="A64" s="31"/>
      <c r="B64" s="50" t="s">
        <v>96</v>
      </c>
      <c r="C64" s="51"/>
      <c r="D64" s="390">
        <v>7.7424242424242422</v>
      </c>
      <c r="E64" s="390">
        <v>-5.3366880146386091</v>
      </c>
      <c r="F64" s="390">
        <v>0.69588550983899822</v>
      </c>
      <c r="G64" s="390">
        <v>7.5902222222222226</v>
      </c>
      <c r="H64" s="390">
        <v>72.064917391304348</v>
      </c>
      <c r="I64" s="390">
        <v>51.446683046968992</v>
      </c>
      <c r="J64" s="390">
        <v>18.844741848807139</v>
      </c>
      <c r="K64" s="390">
        <v>9.8039789908795321</v>
      </c>
      <c r="L64" s="390">
        <v>13.141917188448154</v>
      </c>
      <c r="M64" s="390">
        <v>10.628813063346062</v>
      </c>
      <c r="N64" s="391">
        <v>8.0386275724599887</v>
      </c>
      <c r="O64" s="31"/>
      <c r="P64" s="31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13.95" customHeight="1" x14ac:dyDescent="0.3">
      <c r="A65" s="31"/>
      <c r="B65" s="50" t="s">
        <v>97</v>
      </c>
      <c r="C65" s="51"/>
      <c r="D65" s="388">
        <v>12067</v>
      </c>
      <c r="E65" s="388">
        <v>7676</v>
      </c>
      <c r="F65" s="388">
        <v>8386</v>
      </c>
      <c r="G65" s="388">
        <v>15857</v>
      </c>
      <c r="H65" s="388">
        <v>30985.333333333332</v>
      </c>
      <c r="I65" s="388">
        <v>29996.878626564798</v>
      </c>
      <c r="J65" s="388">
        <v>24846.02719299441</v>
      </c>
      <c r="K65" s="388">
        <v>20117.008225828751</v>
      </c>
      <c r="L65" s="388">
        <v>20466.318543419089</v>
      </c>
      <c r="M65" s="388">
        <v>19911.811040241606</v>
      </c>
      <c r="N65" s="389">
        <v>19373.373992459263</v>
      </c>
      <c r="O65" s="31"/>
      <c r="P65" s="31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13.95" customHeight="1" x14ac:dyDescent="0.3">
      <c r="A66" s="31"/>
      <c r="B66" s="58" t="s">
        <v>98</v>
      </c>
      <c r="C66" s="59"/>
      <c r="D66" s="60">
        <v>0.39232069705442485</v>
      </c>
      <c r="E66" s="60">
        <v>0.49395109395109393</v>
      </c>
      <c r="F66" s="60">
        <v>0.33395722989924737</v>
      </c>
      <c r="G66" s="60">
        <v>0.42423350634062817</v>
      </c>
      <c r="H66" s="60">
        <v>0.24027274818611599</v>
      </c>
      <c r="I66" s="60">
        <v>0.3</v>
      </c>
      <c r="J66" s="60">
        <v>0.45</v>
      </c>
      <c r="K66" s="60">
        <v>0.45000000000000007</v>
      </c>
      <c r="L66" s="60">
        <v>0.4</v>
      </c>
      <c r="M66" s="60">
        <v>0.40000000000000008</v>
      </c>
      <c r="N66" s="61">
        <v>0.39999999999999997</v>
      </c>
      <c r="O66" s="31"/>
      <c r="P66" s="31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 spans="1:28" ht="13.95" customHeight="1" x14ac:dyDescent="0.3">
      <c r="A67" s="31"/>
      <c r="B67" s="50" t="s">
        <v>99</v>
      </c>
      <c r="C67" s="51"/>
      <c r="D67" s="388">
        <v>2310.8457841395884</v>
      </c>
      <c r="E67" s="388">
        <v>-7228.7216330858964</v>
      </c>
      <c r="F67" s="388">
        <v>-1615.2774193548394</v>
      </c>
      <c r="G67" s="388">
        <v>2738.4943028796333</v>
      </c>
      <c r="H67" s="388">
        <v>42180.470501202777</v>
      </c>
      <c r="I67" s="388">
        <v>49661.701091520416</v>
      </c>
      <c r="J67" s="388">
        <v>16436.108264277398</v>
      </c>
      <c r="K67" s="388">
        <v>6152.3331533809687</v>
      </c>
      <c r="L67" s="388">
        <v>8508.0995759277739</v>
      </c>
      <c r="M67" s="388">
        <v>8934.1644723404133</v>
      </c>
      <c r="N67" s="389">
        <v>7888.4963514271785</v>
      </c>
      <c r="O67" s="31"/>
      <c r="P67" s="31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28" ht="13.95" customHeight="1" x14ac:dyDescent="0.3">
      <c r="A68" s="31"/>
      <c r="B68" s="53" t="s">
        <v>100</v>
      </c>
      <c r="C68" s="54"/>
      <c r="D68" s="392">
        <v>-0.24212153644904269</v>
      </c>
      <c r="E68" s="392">
        <v>1.4380905022376926</v>
      </c>
      <c r="F68" s="392">
        <v>0.46730515191545574</v>
      </c>
      <c r="G68" s="392">
        <v>0.14573446639443771</v>
      </c>
      <c r="H68" s="392">
        <v>-0.4325387436900478</v>
      </c>
      <c r="I68" s="392">
        <v>-1.2217865190927313</v>
      </c>
      <c r="J68" s="392">
        <v>-3.245936011126946</v>
      </c>
      <c r="K68" s="392">
        <v>-5.0334233337463141</v>
      </c>
      <c r="L68" s="392">
        <v>-4.3994162482733277</v>
      </c>
      <c r="M68" s="392">
        <v>-5.1117948268352125</v>
      </c>
      <c r="N68" s="393">
        <v>-5.9376443954638516</v>
      </c>
      <c r="O68" s="31"/>
      <c r="P68" s="31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7.95" customHeight="1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22.05" customHeight="1" x14ac:dyDescent="0.35">
      <c r="A70" s="31"/>
      <c r="B70" s="34" t="s">
        <v>105</v>
      </c>
      <c r="C70" s="34"/>
      <c r="D70" s="34"/>
      <c r="E70" s="34"/>
      <c r="F70" s="34"/>
      <c r="G70" s="34"/>
      <c r="H70" s="31"/>
      <c r="I70" s="34" t="str">
        <f>"SENSITIVITY — "&amp;UPPER(INDEX(Assumptions!$C$27:$C$29,Assumptions!$D$7))&amp;" CASE"</f>
        <v>SENSITIVITY — BASE CASE</v>
      </c>
      <c r="J70" s="34"/>
      <c r="K70" s="34"/>
      <c r="L70" s="34"/>
      <c r="M70" s="34"/>
      <c r="N70" s="34"/>
      <c r="O70" s="31"/>
      <c r="P70" s="31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15" customHeight="1" x14ac:dyDescent="0.3">
      <c r="A71" s="31"/>
      <c r="B71" s="55" t="s">
        <v>106</v>
      </c>
      <c r="C71" s="71" t="s">
        <v>107</v>
      </c>
      <c r="D71" s="71" t="s">
        <v>108</v>
      </c>
      <c r="E71" s="71" t="s">
        <v>109</v>
      </c>
      <c r="F71" s="71" t="s">
        <v>110</v>
      </c>
      <c r="G71" s="74"/>
      <c r="H71" s="31"/>
      <c r="I71" s="64" t="s">
        <v>1026</v>
      </c>
      <c r="J71" s="36"/>
      <c r="K71" s="36"/>
      <c r="L71" s="36"/>
      <c r="M71" s="36"/>
      <c r="N71" s="40"/>
      <c r="O71" s="31"/>
      <c r="P71" s="31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15" customHeight="1" x14ac:dyDescent="0.3">
      <c r="A72" s="31"/>
      <c r="B72" s="50" t="s">
        <v>1024</v>
      </c>
      <c r="C72" s="75" t="s">
        <v>111</v>
      </c>
      <c r="D72" s="375">
        <f>Scenarios!F27</f>
        <v>-0.15059345635943444</v>
      </c>
      <c r="E72" s="375">
        <f>Scenarios!G27</f>
        <v>-9.8351474044989007E-2</v>
      </c>
      <c r="F72" s="375">
        <f>Scenarios!H27</f>
        <v>-2.2216895970577188E-2</v>
      </c>
      <c r="G72" s="52"/>
      <c r="H72" s="31"/>
      <c r="I72" s="65" t="s">
        <v>115</v>
      </c>
      <c r="J72" s="383">
        <f>Scenarios!F50</f>
        <v>0</v>
      </c>
      <c r="K72" s="383">
        <f>Scenarios!G50</f>
        <v>5.0000000000000001E-3</v>
      </c>
      <c r="L72" s="383">
        <f>Scenarios!H50</f>
        <v>9.6558191116491807E-3</v>
      </c>
      <c r="M72" s="383">
        <f>Scenarios!I50</f>
        <v>0.02</v>
      </c>
      <c r="N72" s="383">
        <f>Scenarios!J50</f>
        <v>0.03</v>
      </c>
      <c r="O72" s="31"/>
      <c r="P72" s="31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15" customHeight="1" x14ac:dyDescent="0.3">
      <c r="A73" s="31"/>
      <c r="B73" s="50" t="s">
        <v>946</v>
      </c>
      <c r="C73" s="75" t="s">
        <v>111</v>
      </c>
      <c r="D73" s="375">
        <f>Scenarios!F30</f>
        <v>0.54754629389558784</v>
      </c>
      <c r="E73" s="375">
        <f>Scenarios!G30</f>
        <v>0.66554853983665596</v>
      </c>
      <c r="F73" s="375">
        <f>Scenarios!H30</f>
        <v>0.78961991646752794</v>
      </c>
      <c r="G73" s="52"/>
      <c r="H73" s="31"/>
      <c r="I73" s="383">
        <f>Scenarios!E51</f>
        <v>0.105</v>
      </c>
      <c r="J73" s="66">
        <f>Scenarios!F51</f>
        <v>270.28081613082986</v>
      </c>
      <c r="K73" s="66">
        <f>Scenarios!G51</f>
        <v>272.5296905522934</v>
      </c>
      <c r="L73" s="66">
        <f>Scenarios!H51</f>
        <v>274.81205980971151</v>
      </c>
      <c r="M73" s="66">
        <f>Scenarios!I51</f>
        <v>280.68579327229975</v>
      </c>
      <c r="N73" s="66">
        <f>Scenarios!J51</f>
        <v>287.76758778385545</v>
      </c>
      <c r="O73" s="31"/>
      <c r="P73" s="31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15" customHeight="1" x14ac:dyDescent="0.3">
      <c r="A74" s="31"/>
      <c r="B74" s="50" t="s">
        <v>1025</v>
      </c>
      <c r="C74" s="75" t="s">
        <v>111</v>
      </c>
      <c r="D74" s="375">
        <f>Scenarios!F31</f>
        <v>0.39999999999999997</v>
      </c>
      <c r="E74" s="375">
        <f>Scenarios!G31</f>
        <v>0.33833333333333337</v>
      </c>
      <c r="F74" s="375">
        <f>Scenarios!H31</f>
        <v>0.28666666666666668</v>
      </c>
      <c r="G74" s="52"/>
      <c r="H74" s="31"/>
      <c r="I74" s="383">
        <f>Scenarios!E52</f>
        <v>0.115</v>
      </c>
      <c r="J74" s="66">
        <f>Scenarios!F52</f>
        <v>256.15571121377099</v>
      </c>
      <c r="K74" s="66">
        <f>Scenarios!G52</f>
        <v>257.76842344034606</v>
      </c>
      <c r="L74" s="66">
        <f>Scenarios!H52</f>
        <v>259.38738252264125</v>
      </c>
      <c r="M74" s="66">
        <f>Scenarios!I52</f>
        <v>263.47426518630391</v>
      </c>
      <c r="N74" s="66">
        <f>Scenarios!J52</f>
        <v>268.25645461122446</v>
      </c>
      <c r="O74" s="31"/>
      <c r="P74" s="31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15" customHeight="1" x14ac:dyDescent="0.3">
      <c r="A75" s="31"/>
      <c r="B75" s="50" t="s">
        <v>42</v>
      </c>
      <c r="C75" s="75" t="s">
        <v>111</v>
      </c>
      <c r="D75" s="381">
        <f>Scenarios!F36</f>
        <v>0.12453408324160252</v>
      </c>
      <c r="E75" s="381">
        <f>Scenarios!G36</f>
        <v>0.12453408324160252</v>
      </c>
      <c r="F75" s="381">
        <f>Scenarios!H36</f>
        <v>0.12453408324160252</v>
      </c>
      <c r="G75" s="52"/>
      <c r="H75" s="31"/>
      <c r="I75" s="383">
        <f>Scenarios!E53</f>
        <v>0.12453408324160252</v>
      </c>
      <c r="J75" s="66">
        <f>Scenarios!F53</f>
        <v>244.73966923007751</v>
      </c>
      <c r="K75" s="66">
        <f>Scenarios!G53</f>
        <v>245.92199857924811</v>
      </c>
      <c r="L75" s="67">
        <f>Scenarios!H53</f>
        <v>247.09771529902795</v>
      </c>
      <c r="M75" s="66">
        <f>Scenarios!I53</f>
        <v>250.01735063610812</v>
      </c>
      <c r="N75" s="66">
        <f>Scenarios!J53</f>
        <v>253.34957288885093</v>
      </c>
      <c r="O75" s="31"/>
      <c r="P75" s="31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ht="15" customHeight="1" x14ac:dyDescent="0.3">
      <c r="A76" s="31"/>
      <c r="B76" s="50" t="s">
        <v>940</v>
      </c>
      <c r="C76" s="75" t="s">
        <v>111</v>
      </c>
      <c r="D76" s="381">
        <f>Scenarios!F22</f>
        <v>-1.1055965740167695E-2</v>
      </c>
      <c r="E76" s="381">
        <f>Scenarios!G22</f>
        <v>9.6558191116491807E-3</v>
      </c>
      <c r="F76" s="381">
        <f>Scenarios!H22</f>
        <v>3.4885871213099627E-2</v>
      </c>
      <c r="G76" s="52"/>
      <c r="H76" s="31"/>
      <c r="I76" s="383">
        <f>Scenarios!E54</f>
        <v>0.13500000000000001</v>
      </c>
      <c r="J76" s="66">
        <f>Scenarios!F54</f>
        <v>234.00154171601656</v>
      </c>
      <c r="K76" s="66">
        <f>Scenarios!G54</f>
        <v>234.84459600384761</v>
      </c>
      <c r="L76" s="66">
        <f>Scenarios!H54</f>
        <v>235.67469199741694</v>
      </c>
      <c r="M76" s="66">
        <f>Scenarios!I54</f>
        <v>237.70160627345078</v>
      </c>
      <c r="N76" s="66">
        <f>Scenarios!J54</f>
        <v>239.95754486449479</v>
      </c>
      <c r="O76" s="31"/>
      <c r="P76" s="31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ht="15" customHeight="1" x14ac:dyDescent="0.3">
      <c r="A77" s="31"/>
      <c r="B77" s="76" t="s">
        <v>112</v>
      </c>
      <c r="C77" s="80" t="s">
        <v>113</v>
      </c>
      <c r="D77" s="382">
        <f>Scenarios!F37</f>
        <v>7.77</v>
      </c>
      <c r="E77" s="382">
        <f>Scenarios!G37</f>
        <v>7.77</v>
      </c>
      <c r="F77" s="382">
        <f>Scenarios!H37</f>
        <v>7.77</v>
      </c>
      <c r="G77" s="79"/>
      <c r="H77" s="31"/>
      <c r="I77" s="383">
        <f>Scenarios!E55</f>
        <v>0.14499999999999999</v>
      </c>
      <c r="J77" s="66">
        <f>Scenarios!F55</f>
        <v>225.13317363993113</v>
      </c>
      <c r="K77" s="66">
        <f>Scenarios!G55</f>
        <v>225.74190484498416</v>
      </c>
      <c r="L77" s="66">
        <f>Scenarios!H55</f>
        <v>226.33564202446297</v>
      </c>
      <c r="M77" s="66">
        <f>Scenarios!I55</f>
        <v>227.76252627181901</v>
      </c>
      <c r="N77" s="66">
        <f>Scenarios!J55</f>
        <v>229.31389731502048</v>
      </c>
      <c r="O77" s="31"/>
      <c r="P77" s="31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ht="15" customHeight="1" x14ac:dyDescent="0.3">
      <c r="A78" s="31"/>
      <c r="B78" s="44" t="s">
        <v>114</v>
      </c>
      <c r="C78" s="62" t="s">
        <v>111</v>
      </c>
      <c r="D78" s="63">
        <f>Scenarios!F41</f>
        <v>0.25</v>
      </c>
      <c r="E78" s="63">
        <f>Scenarios!G41</f>
        <v>0.5</v>
      </c>
      <c r="F78" s="63">
        <f>Scenarios!H41</f>
        <v>0.25</v>
      </c>
      <c r="G78" s="45"/>
      <c r="H78" s="31"/>
      <c r="I78" s="39"/>
      <c r="J78" s="37"/>
      <c r="K78" s="37"/>
      <c r="L78" s="37"/>
      <c r="M78" s="37"/>
      <c r="N78" s="42"/>
      <c r="O78" s="31"/>
      <c r="P78" s="31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 spans="1:28" ht="7.95" customHeight="1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ht="22.05" customHeight="1" x14ac:dyDescent="0.35">
      <c r="A80" s="31"/>
      <c r="B80" s="34" t="s">
        <v>116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1"/>
      <c r="P80" s="31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 spans="1:28" ht="16.05" customHeight="1" x14ac:dyDescent="0.3">
      <c r="A81" s="31"/>
      <c r="B81" s="68" t="s">
        <v>117</v>
      </c>
      <c r="C81" s="36"/>
      <c r="D81" s="36"/>
      <c r="E81" s="36"/>
      <c r="F81" s="36"/>
      <c r="G81" s="40"/>
      <c r="H81" s="31"/>
      <c r="I81" s="68" t="s">
        <v>1037</v>
      </c>
      <c r="J81" s="36"/>
      <c r="K81" s="36"/>
      <c r="L81" s="36"/>
      <c r="M81" s="36"/>
      <c r="N81" s="40"/>
      <c r="O81" s="31"/>
      <c r="P81" s="31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13.95" customHeight="1" x14ac:dyDescent="0.3">
      <c r="A82" s="31"/>
      <c r="B82" s="38"/>
      <c r="C82" s="35"/>
      <c r="D82" s="35"/>
      <c r="E82" s="35"/>
      <c r="F82" s="35"/>
      <c r="G82" s="41"/>
      <c r="H82" s="31"/>
      <c r="I82" s="38"/>
      <c r="J82" s="35"/>
      <c r="K82" s="35"/>
      <c r="L82" s="35"/>
      <c r="M82" s="35"/>
      <c r="N82" s="41"/>
      <c r="O82" s="31"/>
      <c r="P82" s="31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13.95" customHeight="1" x14ac:dyDescent="0.3">
      <c r="A83" s="31"/>
      <c r="B83" s="38"/>
      <c r="C83" s="35"/>
      <c r="D83" s="35"/>
      <c r="E83" s="35"/>
      <c r="F83" s="35"/>
      <c r="G83" s="41"/>
      <c r="H83" s="31"/>
      <c r="I83" s="38"/>
      <c r="J83" s="35"/>
      <c r="K83" s="35"/>
      <c r="L83" s="35"/>
      <c r="M83" s="35"/>
      <c r="N83" s="41"/>
      <c r="O83" s="31"/>
      <c r="P83" s="31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3.95" customHeight="1" x14ac:dyDescent="0.3">
      <c r="A84" s="31"/>
      <c r="B84" s="38"/>
      <c r="C84" s="35"/>
      <c r="D84" s="35"/>
      <c r="E84" s="35"/>
      <c r="F84" s="35"/>
      <c r="G84" s="41"/>
      <c r="H84" s="31"/>
      <c r="I84" s="38"/>
      <c r="J84" s="35"/>
      <c r="K84" s="35"/>
      <c r="L84" s="35"/>
      <c r="M84" s="35"/>
      <c r="N84" s="41"/>
      <c r="O84" s="31"/>
      <c r="P84" s="31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 spans="1:28" ht="13.95" customHeight="1" x14ac:dyDescent="0.3">
      <c r="A85" s="31"/>
      <c r="B85" s="38"/>
      <c r="C85" s="35"/>
      <c r="D85" s="35"/>
      <c r="E85" s="35"/>
      <c r="F85" s="35"/>
      <c r="G85" s="41"/>
      <c r="H85" s="31"/>
      <c r="I85" s="38"/>
      <c r="J85" s="35"/>
      <c r="K85" s="35"/>
      <c r="L85" s="35"/>
      <c r="M85" s="35"/>
      <c r="N85" s="41"/>
      <c r="O85" s="31"/>
      <c r="P85" s="31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ht="13.95" customHeight="1" x14ac:dyDescent="0.3">
      <c r="A86" s="31"/>
      <c r="B86" s="38"/>
      <c r="C86" s="35"/>
      <c r="D86" s="35"/>
      <c r="E86" s="35"/>
      <c r="F86" s="35"/>
      <c r="G86" s="41"/>
      <c r="H86" s="31"/>
      <c r="I86" s="38"/>
      <c r="J86" s="35"/>
      <c r="K86" s="35"/>
      <c r="L86" s="35"/>
      <c r="M86" s="35"/>
      <c r="N86" s="41"/>
      <c r="O86" s="31"/>
      <c r="P86" s="31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 spans="1:28" ht="13.95" customHeight="1" x14ac:dyDescent="0.3">
      <c r="A87" s="31"/>
      <c r="B87" s="38"/>
      <c r="C87" s="35"/>
      <c r="D87" s="35"/>
      <c r="E87" s="35"/>
      <c r="F87" s="35"/>
      <c r="G87" s="41"/>
      <c r="H87" s="31"/>
      <c r="I87" s="38"/>
      <c r="J87" s="35"/>
      <c r="K87" s="35"/>
      <c r="L87" s="35"/>
      <c r="M87" s="35"/>
      <c r="N87" s="41"/>
      <c r="O87" s="31"/>
      <c r="P87" s="31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 spans="1:28" ht="13.95" customHeight="1" x14ac:dyDescent="0.3">
      <c r="A88" s="31"/>
      <c r="B88" s="38"/>
      <c r="C88" s="35"/>
      <c r="D88" s="35"/>
      <c r="E88" s="35"/>
      <c r="F88" s="35"/>
      <c r="G88" s="41"/>
      <c r="H88" s="31"/>
      <c r="I88" s="38"/>
      <c r="J88" s="35"/>
      <c r="K88" s="35"/>
      <c r="L88" s="35"/>
      <c r="M88" s="35"/>
      <c r="N88" s="41"/>
      <c r="O88" s="31"/>
      <c r="P88" s="31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 spans="1:28" ht="13.95" customHeight="1" x14ac:dyDescent="0.3">
      <c r="A89" s="31"/>
      <c r="B89" s="38"/>
      <c r="C89" s="35"/>
      <c r="D89" s="35"/>
      <c r="E89" s="35"/>
      <c r="F89" s="35"/>
      <c r="G89" s="41"/>
      <c r="H89" s="31"/>
      <c r="I89" s="38"/>
      <c r="J89" s="35"/>
      <c r="K89" s="35"/>
      <c r="L89" s="35"/>
      <c r="M89" s="35"/>
      <c r="N89" s="41"/>
      <c r="O89" s="31"/>
      <c r="P89" s="31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1:28" ht="13.95" customHeight="1" x14ac:dyDescent="0.3">
      <c r="A90" s="31"/>
      <c r="B90" s="38"/>
      <c r="C90" s="35"/>
      <c r="D90" s="35"/>
      <c r="E90" s="35"/>
      <c r="F90" s="35"/>
      <c r="G90" s="41"/>
      <c r="H90" s="31"/>
      <c r="I90" s="38"/>
      <c r="J90" s="35"/>
      <c r="K90" s="35"/>
      <c r="L90" s="35"/>
      <c r="M90" s="35"/>
      <c r="N90" s="41"/>
      <c r="O90" s="31"/>
      <c r="P90" s="31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 spans="1:28" ht="13.95" customHeight="1" x14ac:dyDescent="0.3">
      <c r="A91" s="31"/>
      <c r="B91" s="38"/>
      <c r="C91" s="35"/>
      <c r="D91" s="35"/>
      <c r="E91" s="35"/>
      <c r="F91" s="35"/>
      <c r="G91" s="41"/>
      <c r="H91" s="31"/>
      <c r="I91" s="38"/>
      <c r="J91" s="35"/>
      <c r="K91" s="35"/>
      <c r="L91" s="35"/>
      <c r="M91" s="35"/>
      <c r="N91" s="41"/>
      <c r="O91" s="31"/>
      <c r="P91" s="31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 spans="1:28" ht="13.95" customHeight="1" x14ac:dyDescent="0.3">
      <c r="A92" s="31"/>
      <c r="B92" s="38"/>
      <c r="C92" s="35"/>
      <c r="D92" s="35"/>
      <c r="E92" s="35"/>
      <c r="F92" s="35"/>
      <c r="G92" s="41"/>
      <c r="H92" s="31"/>
      <c r="I92" s="38"/>
      <c r="J92" s="35"/>
      <c r="K92" s="35"/>
      <c r="L92" s="35"/>
      <c r="M92" s="35"/>
      <c r="N92" s="41"/>
      <c r="O92" s="31"/>
      <c r="P92" s="31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 spans="1:28" ht="13.95" customHeight="1" x14ac:dyDescent="0.3">
      <c r="A93" s="31"/>
      <c r="B93" s="38"/>
      <c r="C93" s="35"/>
      <c r="D93" s="35"/>
      <c r="E93" s="35"/>
      <c r="F93" s="35"/>
      <c r="G93" s="41"/>
      <c r="H93" s="31"/>
      <c r="I93" s="38"/>
      <c r="J93" s="35"/>
      <c r="K93" s="35"/>
      <c r="L93" s="35"/>
      <c r="M93" s="35"/>
      <c r="N93" s="41"/>
      <c r="O93" s="31"/>
      <c r="P93" s="31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 spans="1:28" ht="13.95" customHeight="1" x14ac:dyDescent="0.3">
      <c r="A94" s="31"/>
      <c r="B94" s="38"/>
      <c r="C94" s="35"/>
      <c r="D94" s="35"/>
      <c r="E94" s="35"/>
      <c r="F94" s="35"/>
      <c r="G94" s="41"/>
      <c r="H94" s="31"/>
      <c r="I94" s="38"/>
      <c r="J94" s="35"/>
      <c r="K94" s="35"/>
      <c r="L94" s="35"/>
      <c r="M94" s="35"/>
      <c r="N94" s="41"/>
      <c r="O94" s="31"/>
      <c r="P94" s="31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 ht="13.95" customHeight="1" x14ac:dyDescent="0.3">
      <c r="A95" s="31"/>
      <c r="B95" s="38"/>
      <c r="C95" s="35"/>
      <c r="D95" s="35"/>
      <c r="E95" s="35"/>
      <c r="F95" s="35"/>
      <c r="G95" s="41"/>
      <c r="H95" s="31"/>
      <c r="I95" s="38"/>
      <c r="J95" s="35"/>
      <c r="K95" s="35"/>
      <c r="L95" s="35"/>
      <c r="M95" s="35"/>
      <c r="N95" s="41"/>
      <c r="O95" s="31"/>
      <c r="P95" s="31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 spans="1:28" ht="13.95" customHeight="1" x14ac:dyDescent="0.3">
      <c r="A96" s="31"/>
      <c r="B96" s="39"/>
      <c r="C96" s="37"/>
      <c r="D96" s="37"/>
      <c r="E96" s="37"/>
      <c r="F96" s="37"/>
      <c r="G96" s="42"/>
      <c r="H96" s="31"/>
      <c r="I96" s="39"/>
      <c r="J96" s="37"/>
      <c r="K96" s="37"/>
      <c r="L96" s="37"/>
      <c r="M96" s="37"/>
      <c r="N96" s="42"/>
      <c r="O96" s="31"/>
      <c r="P96" s="31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1:28" ht="7.95" customHeight="1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 spans="1:28" ht="16.05" customHeight="1" x14ac:dyDescent="0.3">
      <c r="A98" s="31"/>
      <c r="B98" s="68" t="s">
        <v>118</v>
      </c>
      <c r="C98" s="36"/>
      <c r="D98" s="36"/>
      <c r="E98" s="36"/>
      <c r="F98" s="36"/>
      <c r="G98" s="40"/>
      <c r="H98" s="31"/>
      <c r="I98" s="68" t="s">
        <v>119</v>
      </c>
      <c r="J98" s="36"/>
      <c r="K98" s="36"/>
      <c r="L98" s="36"/>
      <c r="M98" s="36"/>
      <c r="N98" s="40"/>
      <c r="O98" s="31"/>
      <c r="P98" s="31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 spans="1:28" ht="13.95" customHeight="1" x14ac:dyDescent="0.3">
      <c r="A99" s="31"/>
      <c r="B99" s="38"/>
      <c r="C99" s="35"/>
      <c r="D99" s="35"/>
      <c r="E99" s="35"/>
      <c r="F99" s="35"/>
      <c r="G99" s="41"/>
      <c r="H99" s="31"/>
      <c r="I99" s="38"/>
      <c r="J99" s="35"/>
      <c r="K99" s="35"/>
      <c r="L99" s="35"/>
      <c r="M99" s="35"/>
      <c r="N99" s="41"/>
      <c r="O99" s="31"/>
      <c r="P99" s="31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 spans="1:28" ht="13.95" customHeight="1" x14ac:dyDescent="0.3">
      <c r="A100" s="31"/>
      <c r="B100" s="38"/>
      <c r="C100" s="35"/>
      <c r="D100" s="35"/>
      <c r="E100" s="35"/>
      <c r="F100" s="35"/>
      <c r="G100" s="41"/>
      <c r="H100" s="31"/>
      <c r="I100" s="38"/>
      <c r="J100" s="35"/>
      <c r="K100" s="35"/>
      <c r="L100" s="35"/>
      <c r="M100" s="35"/>
      <c r="N100" s="41"/>
      <c r="O100" s="31"/>
      <c r="P100" s="31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28" ht="13.95" customHeight="1" x14ac:dyDescent="0.3">
      <c r="A101" s="31"/>
      <c r="B101" s="38"/>
      <c r="C101" s="35"/>
      <c r="D101" s="35"/>
      <c r="E101" s="35"/>
      <c r="F101" s="35"/>
      <c r="G101" s="41"/>
      <c r="H101" s="31"/>
      <c r="I101" s="38"/>
      <c r="J101" s="35"/>
      <c r="K101" s="35"/>
      <c r="L101" s="35"/>
      <c r="M101" s="35"/>
      <c r="N101" s="41"/>
      <c r="O101" s="31"/>
      <c r="P101" s="31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28" ht="13.95" customHeight="1" x14ac:dyDescent="0.3">
      <c r="A102" s="31"/>
      <c r="B102" s="38"/>
      <c r="C102" s="35"/>
      <c r="D102" s="35"/>
      <c r="E102" s="35"/>
      <c r="F102" s="35"/>
      <c r="G102" s="41"/>
      <c r="H102" s="31"/>
      <c r="I102" s="38"/>
      <c r="J102" s="35"/>
      <c r="K102" s="35"/>
      <c r="L102" s="35"/>
      <c r="M102" s="35"/>
      <c r="N102" s="41"/>
      <c r="O102" s="31"/>
      <c r="P102" s="31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28" ht="13.95" customHeight="1" x14ac:dyDescent="0.3">
      <c r="A103" s="31"/>
      <c r="B103" s="38"/>
      <c r="C103" s="35"/>
      <c r="D103" s="35"/>
      <c r="E103" s="35"/>
      <c r="F103" s="35"/>
      <c r="G103" s="41"/>
      <c r="H103" s="31"/>
      <c r="I103" s="38"/>
      <c r="J103" s="35"/>
      <c r="K103" s="35"/>
      <c r="L103" s="35"/>
      <c r="M103" s="35"/>
      <c r="N103" s="41"/>
      <c r="O103" s="31"/>
      <c r="P103" s="31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 spans="1:28" ht="13.95" customHeight="1" x14ac:dyDescent="0.3">
      <c r="A104" s="31"/>
      <c r="B104" s="38"/>
      <c r="C104" s="35"/>
      <c r="D104" s="35"/>
      <c r="E104" s="35"/>
      <c r="F104" s="35"/>
      <c r="G104" s="41"/>
      <c r="H104" s="31"/>
      <c r="I104" s="38"/>
      <c r="J104" s="35"/>
      <c r="K104" s="35"/>
      <c r="L104" s="35"/>
      <c r="M104" s="35"/>
      <c r="N104" s="41"/>
      <c r="O104" s="31"/>
      <c r="P104" s="31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 spans="1:28" ht="13.95" customHeight="1" x14ac:dyDescent="0.3">
      <c r="A105" s="31"/>
      <c r="B105" s="38"/>
      <c r="C105" s="35"/>
      <c r="D105" s="35"/>
      <c r="E105" s="35"/>
      <c r="F105" s="35"/>
      <c r="G105" s="41"/>
      <c r="H105" s="31"/>
      <c r="I105" s="38"/>
      <c r="J105" s="35"/>
      <c r="K105" s="35"/>
      <c r="L105" s="35"/>
      <c r="M105" s="35"/>
      <c r="N105" s="41"/>
      <c r="O105" s="31"/>
      <c r="P105" s="31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 spans="1:28" ht="13.95" customHeight="1" x14ac:dyDescent="0.3">
      <c r="A106" s="31"/>
      <c r="B106" s="38"/>
      <c r="C106" s="35"/>
      <c r="D106" s="35"/>
      <c r="E106" s="35"/>
      <c r="F106" s="35"/>
      <c r="G106" s="41"/>
      <c r="H106" s="31"/>
      <c r="I106" s="38"/>
      <c r="J106" s="35"/>
      <c r="K106" s="35"/>
      <c r="L106" s="35"/>
      <c r="M106" s="35"/>
      <c r="N106" s="41"/>
      <c r="O106" s="31"/>
      <c r="P106" s="31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 ht="13.95" customHeight="1" x14ac:dyDescent="0.3">
      <c r="A107" s="31"/>
      <c r="B107" s="38"/>
      <c r="C107" s="35"/>
      <c r="D107" s="35"/>
      <c r="E107" s="35"/>
      <c r="F107" s="35"/>
      <c r="G107" s="41"/>
      <c r="H107" s="31"/>
      <c r="I107" s="38"/>
      <c r="J107" s="35"/>
      <c r="K107" s="35"/>
      <c r="L107" s="35"/>
      <c r="M107" s="35"/>
      <c r="N107" s="41"/>
      <c r="O107" s="31"/>
      <c r="P107" s="31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 ht="13.95" customHeight="1" x14ac:dyDescent="0.3">
      <c r="A108" s="31"/>
      <c r="B108" s="38"/>
      <c r="C108" s="35"/>
      <c r="D108" s="35"/>
      <c r="E108" s="35"/>
      <c r="F108" s="35"/>
      <c r="G108" s="41"/>
      <c r="H108" s="31"/>
      <c r="I108" s="38"/>
      <c r="J108" s="35"/>
      <c r="K108" s="35"/>
      <c r="L108" s="35"/>
      <c r="M108" s="35"/>
      <c r="N108" s="41"/>
      <c r="O108" s="31"/>
      <c r="P108" s="31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 ht="13.95" customHeight="1" x14ac:dyDescent="0.3">
      <c r="A109" s="31"/>
      <c r="B109" s="38"/>
      <c r="C109" s="35"/>
      <c r="D109" s="35"/>
      <c r="E109" s="35"/>
      <c r="F109" s="35"/>
      <c r="G109" s="41"/>
      <c r="H109" s="31"/>
      <c r="I109" s="38"/>
      <c r="J109" s="35"/>
      <c r="K109" s="35"/>
      <c r="L109" s="35"/>
      <c r="M109" s="35"/>
      <c r="N109" s="41"/>
      <c r="O109" s="31"/>
      <c r="P109" s="31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 ht="13.95" customHeight="1" x14ac:dyDescent="0.3">
      <c r="A110" s="31"/>
      <c r="B110" s="38"/>
      <c r="C110" s="35"/>
      <c r="D110" s="35"/>
      <c r="E110" s="35"/>
      <c r="F110" s="35"/>
      <c r="G110" s="41"/>
      <c r="H110" s="31"/>
      <c r="I110" s="38"/>
      <c r="J110" s="35"/>
      <c r="K110" s="35"/>
      <c r="L110" s="35"/>
      <c r="M110" s="35"/>
      <c r="N110" s="41"/>
      <c r="O110" s="31"/>
      <c r="P110" s="31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28" ht="13.95" customHeight="1" x14ac:dyDescent="0.3">
      <c r="A111" s="31"/>
      <c r="B111" s="38"/>
      <c r="C111" s="35"/>
      <c r="D111" s="35"/>
      <c r="E111" s="35"/>
      <c r="F111" s="35"/>
      <c r="G111" s="41"/>
      <c r="H111" s="31"/>
      <c r="I111" s="38"/>
      <c r="J111" s="35"/>
      <c r="K111" s="35"/>
      <c r="L111" s="35"/>
      <c r="M111" s="35"/>
      <c r="N111" s="41"/>
      <c r="O111" s="31"/>
      <c r="P111" s="31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 ht="13.95" customHeight="1" x14ac:dyDescent="0.3">
      <c r="A112" s="31"/>
      <c r="B112" s="38"/>
      <c r="C112" s="35"/>
      <c r="D112" s="35"/>
      <c r="E112" s="35"/>
      <c r="F112" s="35"/>
      <c r="G112" s="41"/>
      <c r="H112" s="31"/>
      <c r="I112" s="38"/>
      <c r="J112" s="35"/>
      <c r="K112" s="35"/>
      <c r="L112" s="35"/>
      <c r="M112" s="35"/>
      <c r="N112" s="41"/>
      <c r="O112" s="31"/>
      <c r="P112" s="31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 ht="13.95" customHeight="1" x14ac:dyDescent="0.3">
      <c r="A113" s="31"/>
      <c r="B113" s="39"/>
      <c r="C113" s="37"/>
      <c r="D113" s="37"/>
      <c r="E113" s="37"/>
      <c r="F113" s="37"/>
      <c r="G113" s="42"/>
      <c r="H113" s="31"/>
      <c r="I113" s="39"/>
      <c r="J113" s="37"/>
      <c r="K113" s="37"/>
      <c r="L113" s="37"/>
      <c r="M113" s="37"/>
      <c r="N113" s="42"/>
      <c r="O113" s="31"/>
      <c r="P113" s="31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 ht="7.95" customHeight="1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 x14ac:dyDescent="0.3">
      <c r="A115" s="31"/>
      <c r="B115" s="69" t="s">
        <v>127</v>
      </c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31"/>
      <c r="P115" s="31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 spans="1:28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 x14ac:dyDescent="0.3">
      <c r="O119" s="9"/>
      <c r="P119" s="9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 x14ac:dyDescent="0.3">
      <c r="O120" s="9"/>
      <c r="P120" s="9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 spans="1:28" x14ac:dyDescent="0.3">
      <c r="O121" s="9"/>
      <c r="P121" s="9"/>
    </row>
    <row r="122" spans="1:28" x14ac:dyDescent="0.3">
      <c r="O122" s="9"/>
      <c r="P122" s="9"/>
    </row>
    <row r="123" spans="1:28" x14ac:dyDescent="0.3">
      <c r="O123" s="9"/>
      <c r="P123" s="9"/>
    </row>
    <row r="124" spans="1:28" x14ac:dyDescent="0.3">
      <c r="O124" s="9"/>
      <c r="P124" s="9"/>
    </row>
    <row r="125" spans="1:28" x14ac:dyDescent="0.3">
      <c r="O125" s="9"/>
      <c r="P125" s="9"/>
    </row>
    <row r="126" spans="1:28" x14ac:dyDescent="0.3">
      <c r="O126" s="9"/>
      <c r="P126" s="9"/>
    </row>
    <row r="127" spans="1:28" x14ac:dyDescent="0.3">
      <c r="O127" s="9"/>
      <c r="P127" s="9"/>
    </row>
    <row r="128" spans="1:28" x14ac:dyDescent="0.3">
      <c r="O128" s="9"/>
      <c r="P128" s="9"/>
    </row>
    <row r="129" spans="15:16" x14ac:dyDescent="0.3">
      <c r="O129" s="9"/>
      <c r="P129" s="9"/>
    </row>
    <row r="130" spans="15:16" x14ac:dyDescent="0.3">
      <c r="O130" s="9"/>
      <c r="P130" s="9"/>
    </row>
    <row r="131" spans="15:16" x14ac:dyDescent="0.3">
      <c r="O131" s="9"/>
      <c r="P131" s="9"/>
    </row>
    <row r="132" spans="15:16" x14ac:dyDescent="0.3">
      <c r="O132" s="9"/>
      <c r="P132" s="9"/>
    </row>
    <row r="133" spans="15:16" x14ac:dyDescent="0.3">
      <c r="O133" s="9"/>
      <c r="P133" s="9"/>
    </row>
    <row r="134" spans="15:16" x14ac:dyDescent="0.3">
      <c r="O134" s="9"/>
      <c r="P134" s="9"/>
    </row>
    <row r="135" spans="15:16" x14ac:dyDescent="0.3">
      <c r="O135" s="9"/>
      <c r="P135" s="9"/>
    </row>
    <row r="136" spans="15:16" x14ac:dyDescent="0.3">
      <c r="O136" s="9"/>
      <c r="P136" s="9"/>
    </row>
    <row r="137" spans="15:16" x14ac:dyDescent="0.3">
      <c r="O137" s="9"/>
      <c r="P137" s="9"/>
    </row>
    <row r="138" spans="15:16" x14ac:dyDescent="0.3">
      <c r="O138" s="9"/>
      <c r="P138" s="9"/>
    </row>
    <row r="139" spans="15:16" x14ac:dyDescent="0.3">
      <c r="O139" s="9"/>
      <c r="P139" s="9"/>
    </row>
    <row r="140" spans="15:16" x14ac:dyDescent="0.3">
      <c r="O140" s="9"/>
      <c r="P140" s="9"/>
    </row>
    <row r="141" spans="15:16" x14ac:dyDescent="0.3">
      <c r="O141" s="9"/>
      <c r="P141" s="9"/>
    </row>
    <row r="142" spans="15:16" x14ac:dyDescent="0.3">
      <c r="O142" s="9"/>
      <c r="P142" s="9"/>
    </row>
    <row r="143" spans="15:16" x14ac:dyDescent="0.3">
      <c r="O143" s="9"/>
      <c r="P143" s="9"/>
    </row>
    <row r="144" spans="15:16" x14ac:dyDescent="0.3">
      <c r="O144" s="9"/>
      <c r="P144" s="9"/>
    </row>
    <row r="145" spans="15:16" x14ac:dyDescent="0.3">
      <c r="O145" s="9"/>
      <c r="P145" s="9"/>
    </row>
    <row r="146" spans="15:16" x14ac:dyDescent="0.3">
      <c r="O146" s="9"/>
      <c r="P146" s="9"/>
    </row>
    <row r="147" spans="15:16" x14ac:dyDescent="0.3">
      <c r="O147" s="9"/>
      <c r="P147" s="9"/>
    </row>
    <row r="148" spans="15:16" x14ac:dyDescent="0.3">
      <c r="O148" s="9"/>
      <c r="P148" s="9"/>
    </row>
    <row r="149" spans="15:16" x14ac:dyDescent="0.3">
      <c r="O149" s="9"/>
      <c r="P149" s="9"/>
    </row>
    <row r="150" spans="15:16" x14ac:dyDescent="0.3">
      <c r="O150" s="9"/>
      <c r="P150" s="9"/>
    </row>
    <row r="151" spans="15:16" x14ac:dyDescent="0.3">
      <c r="O151" s="9"/>
      <c r="P151" s="9"/>
    </row>
    <row r="152" spans="15:16" x14ac:dyDescent="0.3">
      <c r="O152" s="9"/>
      <c r="P152" s="9"/>
    </row>
    <row r="153" spans="15:16" x14ac:dyDescent="0.3">
      <c r="O153" s="9"/>
      <c r="P153" s="9"/>
    </row>
    <row r="154" spans="15:16" x14ac:dyDescent="0.3">
      <c r="O154" s="9"/>
      <c r="P154" s="9"/>
    </row>
    <row r="155" spans="15:16" x14ac:dyDescent="0.3">
      <c r="O155" s="9"/>
      <c r="P155" s="9"/>
    </row>
    <row r="156" spans="15:16" x14ac:dyDescent="0.3">
      <c r="O156" s="9"/>
      <c r="P156" s="9"/>
    </row>
    <row r="157" spans="15:16" x14ac:dyDescent="0.3">
      <c r="O157" s="9"/>
      <c r="P157" s="9"/>
    </row>
    <row r="158" spans="15:16" x14ac:dyDescent="0.3">
      <c r="O158" s="9"/>
      <c r="P158" s="9"/>
    </row>
    <row r="159" spans="15:16" x14ac:dyDescent="0.3">
      <c r="O159" s="9"/>
      <c r="P159" s="9"/>
    </row>
    <row r="160" spans="15:16" x14ac:dyDescent="0.3">
      <c r="O160" s="9"/>
      <c r="P160" s="9"/>
    </row>
    <row r="161" spans="15:16" x14ac:dyDescent="0.3">
      <c r="O161" s="9"/>
      <c r="P161" s="9"/>
    </row>
    <row r="162" spans="15:16" x14ac:dyDescent="0.3">
      <c r="O162" s="9"/>
      <c r="P162" s="9"/>
    </row>
    <row r="163" spans="15:16" x14ac:dyDescent="0.3">
      <c r="O163" s="9"/>
      <c r="P163" s="9"/>
    </row>
    <row r="164" spans="15:16" x14ac:dyDescent="0.3">
      <c r="O164" s="9"/>
      <c r="P164" s="9"/>
    </row>
    <row r="165" spans="15:16" x14ac:dyDescent="0.3">
      <c r="O165" s="9"/>
      <c r="P165" s="9"/>
    </row>
    <row r="166" spans="15:16" x14ac:dyDescent="0.3">
      <c r="O166" s="9"/>
      <c r="P166" s="9"/>
    </row>
    <row r="167" spans="15:16" x14ac:dyDescent="0.3">
      <c r="O167" s="9"/>
      <c r="P167" s="9"/>
    </row>
    <row r="168" spans="15:16" x14ac:dyDescent="0.3">
      <c r="O168" s="9"/>
      <c r="P168" s="9"/>
    </row>
    <row r="169" spans="15:16" x14ac:dyDescent="0.3">
      <c r="O169" s="9"/>
      <c r="P169" s="9"/>
    </row>
    <row r="170" spans="15:16" x14ac:dyDescent="0.3">
      <c r="O170" s="9"/>
      <c r="P170" s="9"/>
    </row>
    <row r="171" spans="15:16" x14ac:dyDescent="0.3">
      <c r="O171" s="9"/>
      <c r="P171" s="9"/>
    </row>
    <row r="172" spans="15:16" x14ac:dyDescent="0.3">
      <c r="O172" s="9"/>
      <c r="P172" s="9"/>
    </row>
    <row r="173" spans="15:16" x14ac:dyDescent="0.3">
      <c r="O173" s="9"/>
      <c r="P173" s="9"/>
    </row>
    <row r="174" spans="15:16" x14ac:dyDescent="0.3">
      <c r="O174" s="9"/>
      <c r="P174" s="9"/>
    </row>
    <row r="175" spans="15:16" x14ac:dyDescent="0.3">
      <c r="O175" s="9"/>
      <c r="P175" s="9"/>
    </row>
    <row r="176" spans="15:16" x14ac:dyDescent="0.3">
      <c r="O176" s="9"/>
      <c r="P176" s="9"/>
    </row>
    <row r="177" spans="15:16" x14ac:dyDescent="0.3">
      <c r="O177" s="9"/>
      <c r="P177" s="9"/>
    </row>
    <row r="178" spans="15:16" x14ac:dyDescent="0.3">
      <c r="O178" s="9"/>
      <c r="P178" s="9"/>
    </row>
    <row r="179" spans="15:16" x14ac:dyDescent="0.3">
      <c r="O179" s="9"/>
      <c r="P179" s="9"/>
    </row>
    <row r="180" spans="15:16" x14ac:dyDescent="0.3">
      <c r="O180" s="9"/>
      <c r="P180" s="9"/>
    </row>
    <row r="181" spans="15:16" x14ac:dyDescent="0.3">
      <c r="O181" s="9"/>
      <c r="P181" s="9"/>
    </row>
    <row r="182" spans="15:16" x14ac:dyDescent="0.3">
      <c r="O182" s="9"/>
      <c r="P182" s="9"/>
    </row>
    <row r="183" spans="15:16" x14ac:dyDescent="0.3">
      <c r="O183" s="9"/>
      <c r="P183" s="9"/>
    </row>
    <row r="184" spans="15:16" x14ac:dyDescent="0.3">
      <c r="O184" s="9"/>
      <c r="P184" s="9"/>
    </row>
    <row r="185" spans="15:16" x14ac:dyDescent="0.3">
      <c r="O185" s="9"/>
      <c r="P185" s="9"/>
    </row>
    <row r="186" spans="15:16" x14ac:dyDescent="0.3">
      <c r="O186" s="9"/>
      <c r="P186" s="9"/>
    </row>
    <row r="187" spans="15:16" x14ac:dyDescent="0.3">
      <c r="O187" s="9"/>
      <c r="P187" s="9"/>
    </row>
    <row r="188" spans="15:16" x14ac:dyDescent="0.3">
      <c r="O188" s="9"/>
      <c r="P188" s="9"/>
    </row>
    <row r="189" spans="15:16" x14ac:dyDescent="0.3">
      <c r="O189" s="9"/>
      <c r="P189" s="9"/>
    </row>
    <row r="190" spans="15:16" x14ac:dyDescent="0.3">
      <c r="O190" s="9"/>
      <c r="P190" s="9"/>
    </row>
    <row r="191" spans="15:16" x14ac:dyDescent="0.3">
      <c r="O191" s="9"/>
      <c r="P191" s="9"/>
    </row>
    <row r="192" spans="15:16" x14ac:dyDescent="0.3">
      <c r="O192" s="9"/>
      <c r="P192" s="9"/>
    </row>
    <row r="193" spans="15:28" x14ac:dyDescent="0.3">
      <c r="O193" s="9"/>
      <c r="P193" s="9"/>
    </row>
    <row r="194" spans="15:28" x14ac:dyDescent="0.3">
      <c r="O194" s="9"/>
      <c r="P194" s="9"/>
    </row>
    <row r="195" spans="15:28" x14ac:dyDescent="0.3">
      <c r="O195" s="9"/>
      <c r="P195" s="9"/>
    </row>
    <row r="196" spans="15:28" x14ac:dyDescent="0.3">
      <c r="O196" s="9"/>
      <c r="P196" s="9"/>
    </row>
    <row r="197" spans="15:28" x14ac:dyDescent="0.3">
      <c r="O197" s="9"/>
      <c r="P197" s="9"/>
    </row>
    <row r="198" spans="15:28" x14ac:dyDescent="0.3">
      <c r="O198" s="9"/>
      <c r="P198" s="9"/>
    </row>
    <row r="199" spans="15:28" x14ac:dyDescent="0.3">
      <c r="O199" s="9"/>
      <c r="P199" s="9"/>
    </row>
    <row r="200" spans="15:28" x14ac:dyDescent="0.3">
      <c r="O200" s="9"/>
      <c r="P200" s="9"/>
    </row>
    <row r="201" spans="15:28" x14ac:dyDescent="0.3"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5:28" x14ac:dyDescent="0.3"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5:28" x14ac:dyDescent="0.3"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</sheetData>
  <mergeCells count="23">
    <mergeCell ref="H9:I9"/>
    <mergeCell ref="B7:C7"/>
    <mergeCell ref="B8:C8"/>
    <mergeCell ref="B9:C9"/>
    <mergeCell ref="D7:E7"/>
    <mergeCell ref="D8:E8"/>
    <mergeCell ref="D9:E9"/>
    <mergeCell ref="H20:N20"/>
    <mergeCell ref="H37:N37"/>
    <mergeCell ref="H54:N54"/>
    <mergeCell ref="V20:AB20"/>
    <mergeCell ref="J7:K7"/>
    <mergeCell ref="J8:K8"/>
    <mergeCell ref="J9:K9"/>
    <mergeCell ref="L7:N7"/>
    <mergeCell ref="L8:N8"/>
    <mergeCell ref="L9:N9"/>
    <mergeCell ref="C10:N10"/>
    <mergeCell ref="F7:G7"/>
    <mergeCell ref="F8:G8"/>
    <mergeCell ref="F9:G9"/>
    <mergeCell ref="H7:I7"/>
    <mergeCell ref="H8:I8"/>
  </mergeCells>
  <printOptions horizontalCentered="1"/>
  <pageMargins left="0.7" right="0.7" top="0.75" bottom="0.75" header="0.3" footer="0.3"/>
  <pageSetup paperSize="9" scale="52" fitToWidth="0" fitToHeight="0" orientation="landscape" r:id="rId1"/>
  <rowBreaks count="1" manualBreakCount="1">
    <brk id="52" max="1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5512-B0CF-4EDC-AC57-FDAF858BED6D}">
  <sheetPr>
    <tabColor theme="9"/>
  </sheetPr>
  <dimension ref="A2:P93"/>
  <sheetViews>
    <sheetView showGridLines="0" topLeftCell="A58" zoomScale="130" zoomScaleNormal="130" workbookViewId="0">
      <selection activeCell="I90" sqref="I90"/>
    </sheetView>
  </sheetViews>
  <sheetFormatPr defaultRowHeight="14.4" x14ac:dyDescent="0.3"/>
  <cols>
    <col min="1" max="1" width="3.21875" style="195" customWidth="1"/>
    <col min="2" max="2" width="2.5546875" customWidth="1"/>
    <col min="3" max="3" width="32.6640625" customWidth="1"/>
    <col min="4" max="4" width="2.77734375" style="195" customWidth="1"/>
    <col min="5" max="5" width="9.6640625" customWidth="1"/>
    <col min="6" max="16" width="12.21875" customWidth="1"/>
  </cols>
  <sheetData>
    <row r="2" spans="1:16" ht="25.8" customHeight="1" x14ac:dyDescent="0.5">
      <c r="B2" s="209"/>
      <c r="C2" s="210" t="str">
        <f>Cover!B2</f>
        <v>MICRON TECHNOLOGY, INC. (NASDAQ: MU)</v>
      </c>
      <c r="D2" s="210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2"/>
      <c r="P2" s="212"/>
    </row>
    <row r="3" spans="1:16" ht="18" customHeight="1" x14ac:dyDescent="0.35">
      <c r="B3" s="209"/>
      <c r="C3" s="213" t="s">
        <v>458</v>
      </c>
      <c r="D3" s="213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  <c r="P3" s="212"/>
    </row>
    <row r="4" spans="1:16" x14ac:dyDescent="0.3">
      <c r="B4" s="214"/>
      <c r="C4" s="215"/>
      <c r="D4" s="215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7"/>
      <c r="P4" s="217"/>
    </row>
    <row r="5" spans="1:16" x14ac:dyDescent="0.3">
      <c r="B5" s="106"/>
      <c r="C5" s="138"/>
      <c r="D5" s="114"/>
      <c r="E5" s="114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</row>
    <row r="6" spans="1:16" ht="7.2" customHeight="1" x14ac:dyDescent="0.3">
      <c r="B6" s="201"/>
      <c r="C6" s="201"/>
      <c r="D6" s="201"/>
      <c r="E6" s="201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</row>
    <row r="7" spans="1:16" ht="22.8" customHeight="1" x14ac:dyDescent="0.3">
      <c r="A7" s="200"/>
      <c r="B7" s="202" t="s">
        <v>459</v>
      </c>
      <c r="C7" s="204"/>
      <c r="D7" s="218">
        <v>2</v>
      </c>
      <c r="E7" s="203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</row>
    <row r="8" spans="1:16" ht="7.2" customHeight="1" x14ac:dyDescent="0.3">
      <c r="B8" s="106"/>
      <c r="C8" s="114"/>
      <c r="D8" s="114"/>
      <c r="E8" s="114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1:16" x14ac:dyDescent="0.3">
      <c r="B9" s="106"/>
      <c r="C9" s="106"/>
      <c r="D9" s="106"/>
      <c r="E9" s="114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</row>
    <row r="10" spans="1:16" ht="24" customHeight="1" x14ac:dyDescent="0.3">
      <c r="B10" s="106"/>
      <c r="C10" s="151" t="s">
        <v>460</v>
      </c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</row>
    <row r="11" spans="1:16" ht="15" customHeight="1" x14ac:dyDescent="0.3">
      <c r="B11" s="106"/>
      <c r="C11" s="143" t="s">
        <v>141</v>
      </c>
      <c r="D11" s="143"/>
      <c r="E11" s="143" t="s">
        <v>107</v>
      </c>
      <c r="F11" s="144"/>
      <c r="G11" s="144"/>
      <c r="H11" s="144"/>
      <c r="I11" s="144"/>
      <c r="J11" s="144" t="s">
        <v>82</v>
      </c>
      <c r="K11" s="144"/>
      <c r="L11" s="144"/>
      <c r="M11" s="144"/>
      <c r="N11" s="144"/>
      <c r="O11" s="144"/>
      <c r="P11" s="144"/>
    </row>
    <row r="12" spans="1:16" ht="15" customHeight="1" x14ac:dyDescent="0.3">
      <c r="B12" s="106"/>
      <c r="C12" s="166" t="s">
        <v>461</v>
      </c>
      <c r="D12" s="166"/>
      <c r="E12" s="114" t="s">
        <v>148</v>
      </c>
      <c r="F12" s="106"/>
      <c r="G12" s="106"/>
      <c r="H12" s="106"/>
      <c r="J12" s="115">
        <v>50000</v>
      </c>
      <c r="L12" s="106"/>
      <c r="M12" s="106"/>
      <c r="N12" s="106"/>
      <c r="O12" s="106"/>
      <c r="P12" s="106"/>
    </row>
    <row r="13" spans="1:16" ht="15" customHeight="1" x14ac:dyDescent="0.3">
      <c r="B13" s="106"/>
      <c r="C13" s="166" t="s">
        <v>462</v>
      </c>
      <c r="D13" s="166"/>
      <c r="E13" s="114" t="s">
        <v>111</v>
      </c>
      <c r="F13" s="106"/>
      <c r="G13" s="106"/>
      <c r="H13" s="106"/>
      <c r="J13" s="171">
        <v>0.86</v>
      </c>
      <c r="L13" s="106"/>
      <c r="M13" s="106"/>
      <c r="N13" s="106"/>
      <c r="O13" s="106"/>
      <c r="P13" s="106"/>
    </row>
    <row r="14" spans="1:16" ht="15" customHeight="1" x14ac:dyDescent="0.3">
      <c r="B14" s="106"/>
      <c r="C14" s="166" t="s">
        <v>463</v>
      </c>
      <c r="D14" s="166"/>
      <c r="E14" s="114" t="s">
        <v>148</v>
      </c>
      <c r="F14" s="106"/>
      <c r="G14" s="106"/>
      <c r="H14" s="106"/>
      <c r="J14" s="115">
        <v>1860</v>
      </c>
      <c r="L14" s="106"/>
      <c r="M14" s="106"/>
      <c r="N14" s="106"/>
      <c r="O14" s="106"/>
      <c r="P14" s="106"/>
    </row>
    <row r="15" spans="1:16" ht="15" customHeight="1" x14ac:dyDescent="0.3">
      <c r="B15" s="106"/>
      <c r="C15" s="166" t="s">
        <v>464</v>
      </c>
      <c r="D15" s="166"/>
      <c r="E15" s="114" t="s">
        <v>111</v>
      </c>
      <c r="F15" s="106"/>
      <c r="G15" s="106"/>
      <c r="H15" s="106"/>
      <c r="J15" s="171">
        <v>0.13900000000000001</v>
      </c>
      <c r="K15" t="s">
        <v>493</v>
      </c>
      <c r="L15" s="106"/>
      <c r="M15" s="106"/>
      <c r="N15" s="106"/>
      <c r="O15" s="106"/>
      <c r="P15" s="106"/>
    </row>
    <row r="16" spans="1:16" ht="15" customHeight="1" x14ac:dyDescent="0.3">
      <c r="B16" s="106"/>
      <c r="C16" s="166" t="s">
        <v>67</v>
      </c>
      <c r="D16" s="166"/>
      <c r="E16" s="114" t="s">
        <v>156</v>
      </c>
      <c r="F16" s="106"/>
      <c r="G16" s="106"/>
      <c r="H16" s="106"/>
      <c r="J16" s="132">
        <v>1150</v>
      </c>
      <c r="L16" s="106"/>
      <c r="M16" s="106"/>
      <c r="N16" s="106"/>
      <c r="O16" s="106"/>
      <c r="P16" s="106"/>
    </row>
    <row r="17" spans="2:16" ht="15" customHeight="1" x14ac:dyDescent="0.3">
      <c r="B17" s="106"/>
      <c r="C17" s="188" t="s">
        <v>465</v>
      </c>
      <c r="D17" s="188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</row>
    <row r="18" spans="2:16" ht="15" customHeight="1" x14ac:dyDescent="0.3">
      <c r="B18" s="106"/>
      <c r="C18" s="166" t="s">
        <v>466</v>
      </c>
      <c r="D18" s="166"/>
      <c r="E18" s="114" t="s">
        <v>111</v>
      </c>
      <c r="F18" s="106"/>
      <c r="G18" s="106"/>
      <c r="H18" s="106"/>
      <c r="I18" s="106"/>
      <c r="J18" s="171">
        <f>('Raw Data'!L159/'Raw Data'!L162)</f>
        <v>0.75569278270937856</v>
      </c>
      <c r="K18" s="106"/>
      <c r="L18" s="106"/>
      <c r="M18" s="106"/>
      <c r="N18" s="106"/>
      <c r="O18" s="106"/>
      <c r="P18" s="106"/>
    </row>
    <row r="19" spans="2:16" ht="15" customHeight="1" x14ac:dyDescent="0.3">
      <c r="B19" s="106"/>
      <c r="C19" s="166" t="s">
        <v>467</v>
      </c>
      <c r="D19" s="166"/>
      <c r="E19" s="114" t="s">
        <v>111</v>
      </c>
      <c r="F19" s="106"/>
      <c r="G19" s="106"/>
      <c r="H19" s="106"/>
      <c r="I19" s="106"/>
      <c r="J19" s="171">
        <f>('Raw Data'!L160/'Raw Data'!L162)</f>
        <v>0.23984465457352375</v>
      </c>
      <c r="K19" s="106"/>
      <c r="L19" s="106"/>
      <c r="M19" s="106"/>
      <c r="N19" s="106"/>
      <c r="O19" s="106"/>
      <c r="P19" s="106"/>
    </row>
    <row r="20" spans="2:16" ht="15" customHeight="1" x14ac:dyDescent="0.3">
      <c r="B20" s="106"/>
      <c r="C20" s="166" t="s">
        <v>468</v>
      </c>
      <c r="D20" s="166"/>
      <c r="E20" s="114" t="s">
        <v>111</v>
      </c>
      <c r="F20" s="106"/>
      <c r="G20" s="106"/>
      <c r="H20" s="106"/>
      <c r="I20" s="106"/>
      <c r="J20" s="171">
        <f>('Raw Data'!L161/'Raw Data'!L162)</f>
        <v>4.4625627170976458E-3</v>
      </c>
      <c r="K20" s="106"/>
      <c r="L20" s="106"/>
      <c r="M20" s="106"/>
      <c r="N20" s="106"/>
      <c r="O20" s="106"/>
      <c r="P20" s="106"/>
    </row>
    <row r="21" spans="2:16" x14ac:dyDescent="0.3">
      <c r="B21" s="106"/>
      <c r="C21" s="257" t="s">
        <v>587</v>
      </c>
      <c r="D21" s="106"/>
      <c r="E21" s="114" t="s">
        <v>588</v>
      </c>
      <c r="F21" s="106"/>
      <c r="G21" s="106"/>
      <c r="H21" s="106"/>
      <c r="I21" s="106"/>
      <c r="J21" s="259">
        <v>27000</v>
      </c>
      <c r="K21" s="106"/>
      <c r="L21" s="106"/>
      <c r="M21" s="106"/>
      <c r="N21" s="106"/>
      <c r="O21" s="106"/>
      <c r="P21" s="106"/>
    </row>
    <row r="22" spans="2:16" x14ac:dyDescent="0.3">
      <c r="B22" s="106"/>
      <c r="C22" s="106"/>
      <c r="D22" s="106"/>
      <c r="E22" s="114"/>
      <c r="F22" s="106"/>
      <c r="G22" s="106"/>
      <c r="H22" s="106"/>
      <c r="I22" s="106"/>
      <c r="J22" s="258"/>
      <c r="K22" s="106"/>
      <c r="L22" s="106"/>
      <c r="M22" s="106"/>
      <c r="N22" s="106"/>
      <c r="O22" s="106"/>
      <c r="P22" s="106"/>
    </row>
    <row r="23" spans="2:16" ht="24" customHeight="1" x14ac:dyDescent="0.3">
      <c r="B23" s="106"/>
      <c r="C23" s="151" t="s">
        <v>469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</row>
    <row r="24" spans="2:16" ht="15" customHeight="1" x14ac:dyDescent="0.3">
      <c r="B24" s="106"/>
      <c r="C24" s="143" t="s">
        <v>141</v>
      </c>
      <c r="D24" s="143"/>
      <c r="E24" s="143" t="s">
        <v>107</v>
      </c>
      <c r="F24" s="144"/>
      <c r="G24" s="144"/>
      <c r="H24" s="144"/>
      <c r="I24" s="144"/>
      <c r="J24" s="144"/>
      <c r="K24" s="144" t="s">
        <v>83</v>
      </c>
      <c r="L24" s="144" t="s">
        <v>84</v>
      </c>
      <c r="M24" s="144" t="s">
        <v>85</v>
      </c>
      <c r="N24" s="144" t="s">
        <v>86</v>
      </c>
      <c r="O24" s="144" t="s">
        <v>87</v>
      </c>
      <c r="P24" s="144" t="s">
        <v>88</v>
      </c>
    </row>
    <row r="25" spans="2:16" ht="15" customHeight="1" x14ac:dyDescent="0.3">
      <c r="B25" s="106"/>
      <c r="C25" s="188" t="s">
        <v>470</v>
      </c>
      <c r="D25" s="188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</row>
    <row r="26" spans="2:16" ht="19.8" customHeight="1" x14ac:dyDescent="0.3">
      <c r="B26" s="106"/>
      <c r="C26" s="205" t="s">
        <v>471</v>
      </c>
      <c r="D26" s="166"/>
      <c r="E26" s="206" t="s">
        <v>111</v>
      </c>
      <c r="F26" s="106"/>
      <c r="G26" s="106"/>
      <c r="H26" s="106"/>
      <c r="I26" s="106"/>
      <c r="J26" s="106"/>
      <c r="K26" s="207">
        <f>INDEX(K27:K29,$D$7)</f>
        <v>0.05</v>
      </c>
      <c r="L26" s="207">
        <f t="shared" ref="L26:P26" si="0">INDEX(L27:L29,$D$7)</f>
        <v>-0.45</v>
      </c>
      <c r="M26" s="207">
        <f t="shared" si="0"/>
        <v>-0.35</v>
      </c>
      <c r="N26" s="207">
        <f t="shared" si="0"/>
        <v>-0.1</v>
      </c>
      <c r="O26" s="207">
        <f t="shared" si="0"/>
        <v>-0.15</v>
      </c>
      <c r="P26" s="207">
        <f t="shared" si="0"/>
        <v>-0.15</v>
      </c>
    </row>
    <row r="27" spans="2:16" ht="15" customHeight="1" x14ac:dyDescent="0.3">
      <c r="B27" s="106"/>
      <c r="C27" s="166" t="s">
        <v>108</v>
      </c>
      <c r="D27" s="166"/>
      <c r="E27" s="114" t="s">
        <v>111</v>
      </c>
      <c r="F27" s="106"/>
      <c r="G27" s="106"/>
      <c r="H27" s="106"/>
      <c r="I27" s="106"/>
      <c r="J27" s="106"/>
      <c r="K27" s="208">
        <v>-0.25</v>
      </c>
      <c r="L27" s="208">
        <v>-0.5</v>
      </c>
      <c r="M27" s="208">
        <v>-0.3</v>
      </c>
      <c r="N27" s="208">
        <v>0</v>
      </c>
      <c r="O27" s="208">
        <v>-0.15</v>
      </c>
      <c r="P27" s="208">
        <v>-0.15</v>
      </c>
    </row>
    <row r="28" spans="2:16" ht="15" customHeight="1" x14ac:dyDescent="0.3">
      <c r="B28" s="106"/>
      <c r="C28" s="166" t="s">
        <v>109</v>
      </c>
      <c r="D28" s="166"/>
      <c r="E28" s="114" t="s">
        <v>111</v>
      </c>
      <c r="F28" s="106"/>
      <c r="G28" s="106"/>
      <c r="H28" s="106"/>
      <c r="I28" s="106"/>
      <c r="J28" s="106"/>
      <c r="K28" s="208">
        <v>0.05</v>
      </c>
      <c r="L28" s="208">
        <v>-0.45</v>
      </c>
      <c r="M28" s="208">
        <v>-0.35</v>
      </c>
      <c r="N28" s="208">
        <v>-0.1</v>
      </c>
      <c r="O28" s="208">
        <v>-0.15</v>
      </c>
      <c r="P28" s="208">
        <v>-0.15</v>
      </c>
    </row>
    <row r="29" spans="2:16" ht="15" customHeight="1" x14ac:dyDescent="0.3">
      <c r="B29" s="106"/>
      <c r="C29" s="166" t="s">
        <v>110</v>
      </c>
      <c r="D29" s="166"/>
      <c r="E29" s="114" t="s">
        <v>111</v>
      </c>
      <c r="F29" s="106"/>
      <c r="G29" s="106"/>
      <c r="H29" s="106"/>
      <c r="I29" s="106"/>
      <c r="J29" s="106"/>
      <c r="K29" s="208">
        <v>0.25</v>
      </c>
      <c r="L29" s="208">
        <v>-0.25</v>
      </c>
      <c r="M29" s="208">
        <v>-0.4</v>
      </c>
      <c r="N29" s="208">
        <v>-0.2</v>
      </c>
      <c r="O29" s="208">
        <v>-0.12</v>
      </c>
      <c r="P29" s="208">
        <v>-0.12</v>
      </c>
    </row>
    <row r="30" spans="2:16" ht="15" customHeight="1" x14ac:dyDescent="0.3">
      <c r="B30" s="106"/>
      <c r="C30" s="188" t="s">
        <v>472</v>
      </c>
      <c r="D30" s="188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</row>
    <row r="31" spans="2:16" ht="19.8" customHeight="1" x14ac:dyDescent="0.3">
      <c r="B31" s="106"/>
      <c r="C31" s="205" t="s">
        <v>471</v>
      </c>
      <c r="D31" s="166"/>
      <c r="E31" s="206" t="s">
        <v>111</v>
      </c>
      <c r="F31" s="106"/>
      <c r="G31" s="106"/>
      <c r="H31" s="106"/>
      <c r="I31" s="106"/>
      <c r="J31" s="106"/>
      <c r="K31" s="207">
        <f>INDEX(K32:K34,$D$7)</f>
        <v>-0.05</v>
      </c>
      <c r="L31" s="207">
        <f t="shared" ref="L31:P31" si="1">INDEX(L32:L34,$D$7)</f>
        <v>-0.45</v>
      </c>
      <c r="M31" s="207">
        <f t="shared" si="1"/>
        <v>-0.35</v>
      </c>
      <c r="N31" s="207">
        <f t="shared" si="1"/>
        <v>-0.1</v>
      </c>
      <c r="O31" s="207">
        <f t="shared" si="1"/>
        <v>-0.18</v>
      </c>
      <c r="P31" s="207">
        <f t="shared" si="1"/>
        <v>-0.18</v>
      </c>
    </row>
    <row r="32" spans="2:16" ht="15" customHeight="1" x14ac:dyDescent="0.3">
      <c r="B32" s="106"/>
      <c r="C32" s="166" t="s">
        <v>108</v>
      </c>
      <c r="D32" s="166"/>
      <c r="E32" s="114" t="s">
        <v>111</v>
      </c>
      <c r="F32" s="106"/>
      <c r="G32" s="106"/>
      <c r="H32" s="106"/>
      <c r="I32" s="106"/>
      <c r="J32" s="106"/>
      <c r="K32" s="208">
        <v>-0.3</v>
      </c>
      <c r="L32" s="208">
        <v>-0.5</v>
      </c>
      <c r="M32" s="208">
        <v>-0.3</v>
      </c>
      <c r="N32" s="208">
        <v>0</v>
      </c>
      <c r="O32" s="208">
        <v>-0.15</v>
      </c>
      <c r="P32" s="208">
        <v>-0.15</v>
      </c>
    </row>
    <row r="33" spans="2:16" ht="15" customHeight="1" x14ac:dyDescent="0.3">
      <c r="B33" s="106"/>
      <c r="C33" s="166" t="s">
        <v>109</v>
      </c>
      <c r="D33" s="166"/>
      <c r="E33" s="114" t="s">
        <v>111</v>
      </c>
      <c r="F33" s="106"/>
      <c r="G33" s="106"/>
      <c r="H33" s="106"/>
      <c r="I33" s="106"/>
      <c r="J33" s="106"/>
      <c r="K33" s="208">
        <v>-0.05</v>
      </c>
      <c r="L33" s="208">
        <v>-0.45</v>
      </c>
      <c r="M33" s="208">
        <v>-0.35</v>
      </c>
      <c r="N33" s="208">
        <v>-0.1</v>
      </c>
      <c r="O33" s="208">
        <v>-0.18</v>
      </c>
      <c r="P33" s="208">
        <v>-0.18</v>
      </c>
    </row>
    <row r="34" spans="2:16" ht="15" customHeight="1" x14ac:dyDescent="0.3">
      <c r="B34" s="106"/>
      <c r="C34" s="166" t="s">
        <v>110</v>
      </c>
      <c r="D34" s="166"/>
      <c r="E34" s="114" t="s">
        <v>111</v>
      </c>
      <c r="F34" s="106"/>
      <c r="G34" s="106"/>
      <c r="H34" s="106"/>
      <c r="I34" s="106"/>
      <c r="J34" s="106"/>
      <c r="K34" s="208">
        <v>0.15</v>
      </c>
      <c r="L34" s="208">
        <v>-0.25</v>
      </c>
      <c r="M34" s="208">
        <v>-0.4</v>
      </c>
      <c r="N34" s="208">
        <v>-0.2</v>
      </c>
      <c r="O34" s="208">
        <v>-0.15</v>
      </c>
      <c r="P34" s="208">
        <v>-0.15</v>
      </c>
    </row>
    <row r="35" spans="2:16" ht="15" customHeight="1" x14ac:dyDescent="0.3">
      <c r="B35" s="106"/>
      <c r="C35" s="188" t="s">
        <v>473</v>
      </c>
      <c r="D35" s="188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</row>
    <row r="36" spans="2:16" ht="19.8" customHeight="1" x14ac:dyDescent="0.3">
      <c r="B36" s="106"/>
      <c r="C36" s="205" t="s">
        <v>471</v>
      </c>
      <c r="D36" s="166"/>
      <c r="E36" s="206" t="s">
        <v>111</v>
      </c>
      <c r="F36" s="106"/>
      <c r="G36" s="106"/>
      <c r="H36" s="106"/>
      <c r="I36" s="106"/>
      <c r="J36" s="106"/>
      <c r="K36" s="207">
        <f>INDEX(K37:K39,$D$7)</f>
        <v>0.1</v>
      </c>
      <c r="L36" s="207">
        <f t="shared" ref="L36:P36" si="2">INDEX(L37:L39,$D$7)</f>
        <v>0.15</v>
      </c>
      <c r="M36" s="207">
        <f t="shared" si="2"/>
        <v>0.16</v>
      </c>
      <c r="N36" s="207">
        <f t="shared" si="2"/>
        <v>0.15</v>
      </c>
      <c r="O36" s="207">
        <f t="shared" si="2"/>
        <v>0.15</v>
      </c>
      <c r="P36" s="207">
        <f t="shared" si="2"/>
        <v>0.15</v>
      </c>
    </row>
    <row r="37" spans="2:16" ht="15" customHeight="1" x14ac:dyDescent="0.3">
      <c r="B37" s="106"/>
      <c r="C37" s="166" t="s">
        <v>108</v>
      </c>
      <c r="D37" s="166"/>
      <c r="E37" s="114" t="s">
        <v>111</v>
      </c>
      <c r="F37" s="106"/>
      <c r="G37" s="106"/>
      <c r="H37" s="106"/>
      <c r="I37" s="106"/>
      <c r="J37" s="106"/>
      <c r="K37" s="208">
        <v>0.05</v>
      </c>
      <c r="L37" s="208">
        <v>0.1</v>
      </c>
      <c r="M37" s="208">
        <v>0.15</v>
      </c>
      <c r="N37" s="208">
        <v>0.14000000000000001</v>
      </c>
      <c r="O37" s="208">
        <v>0.14000000000000001</v>
      </c>
      <c r="P37" s="208">
        <v>0.14000000000000001</v>
      </c>
    </row>
    <row r="38" spans="2:16" ht="15" customHeight="1" x14ac:dyDescent="0.3">
      <c r="B38" s="106"/>
      <c r="C38" s="166" t="s">
        <v>109</v>
      </c>
      <c r="D38" s="166"/>
      <c r="E38" s="114" t="s">
        <v>111</v>
      </c>
      <c r="F38" s="106"/>
      <c r="G38" s="106"/>
      <c r="H38" s="106"/>
      <c r="I38" s="106"/>
      <c r="J38" s="106"/>
      <c r="K38" s="208">
        <v>0.1</v>
      </c>
      <c r="L38" s="208">
        <v>0.15</v>
      </c>
      <c r="M38" s="208">
        <v>0.16</v>
      </c>
      <c r="N38" s="208">
        <v>0.15</v>
      </c>
      <c r="O38" s="208">
        <v>0.15</v>
      </c>
      <c r="P38" s="208">
        <v>0.15</v>
      </c>
    </row>
    <row r="39" spans="2:16" ht="15" customHeight="1" x14ac:dyDescent="0.3">
      <c r="B39" s="106"/>
      <c r="C39" s="166" t="s">
        <v>110</v>
      </c>
      <c r="D39" s="166"/>
      <c r="E39" s="114" t="s">
        <v>111</v>
      </c>
      <c r="F39" s="106"/>
      <c r="G39" s="106"/>
      <c r="H39" s="106"/>
      <c r="I39" s="106"/>
      <c r="J39" s="106"/>
      <c r="K39" s="208">
        <v>0.15</v>
      </c>
      <c r="L39" s="208">
        <v>0.18</v>
      </c>
      <c r="M39" s="208">
        <v>0.18</v>
      </c>
      <c r="N39" s="208">
        <v>0.17</v>
      </c>
      <c r="O39" s="208">
        <v>0.17</v>
      </c>
      <c r="P39" s="208">
        <v>0.16</v>
      </c>
    </row>
    <row r="40" spans="2:16" ht="15" customHeight="1" x14ac:dyDescent="0.3">
      <c r="B40" s="106"/>
      <c r="C40" s="188" t="s">
        <v>474</v>
      </c>
      <c r="D40" s="188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</row>
    <row r="41" spans="2:16" ht="19.8" customHeight="1" x14ac:dyDescent="0.3">
      <c r="B41" s="106"/>
      <c r="C41" s="205" t="s">
        <v>471</v>
      </c>
      <c r="D41" s="166"/>
      <c r="E41" s="206" t="s">
        <v>111</v>
      </c>
      <c r="F41" s="106"/>
      <c r="G41" s="106"/>
      <c r="H41" s="106"/>
      <c r="I41" s="106"/>
      <c r="J41" s="106"/>
      <c r="K41" s="207">
        <f>INDEX(K42:K44,$D$7)</f>
        <v>0.1</v>
      </c>
      <c r="L41" s="207">
        <f t="shared" ref="L41:P41" si="3">INDEX(L42:L44,$D$7)</f>
        <v>0.15</v>
      </c>
      <c r="M41" s="207">
        <f t="shared" si="3"/>
        <v>0.2</v>
      </c>
      <c r="N41" s="207">
        <f t="shared" si="3"/>
        <v>0.18</v>
      </c>
      <c r="O41" s="207">
        <f t="shared" si="3"/>
        <v>0.18</v>
      </c>
      <c r="P41" s="207">
        <f t="shared" si="3"/>
        <v>0.18</v>
      </c>
    </row>
    <row r="42" spans="2:16" ht="15" customHeight="1" x14ac:dyDescent="0.3">
      <c r="B42" s="106"/>
      <c r="C42" s="166" t="s">
        <v>108</v>
      </c>
      <c r="D42" s="166"/>
      <c r="E42" s="114" t="s">
        <v>111</v>
      </c>
      <c r="F42" s="106"/>
      <c r="G42" s="106"/>
      <c r="H42" s="106"/>
      <c r="I42" s="106"/>
      <c r="J42" s="106"/>
      <c r="K42" s="208">
        <v>0.05</v>
      </c>
      <c r="L42" s="208">
        <v>0.12</v>
      </c>
      <c r="M42" s="208">
        <v>0.18</v>
      </c>
      <c r="N42" s="208">
        <v>0.16</v>
      </c>
      <c r="O42" s="208">
        <v>0.16</v>
      </c>
      <c r="P42" s="208">
        <v>0.16</v>
      </c>
    </row>
    <row r="43" spans="2:16" ht="15" customHeight="1" x14ac:dyDescent="0.3">
      <c r="B43" s="106"/>
      <c r="C43" s="166" t="s">
        <v>109</v>
      </c>
      <c r="D43" s="166"/>
      <c r="E43" s="114" t="s">
        <v>111</v>
      </c>
      <c r="F43" s="106"/>
      <c r="G43" s="106"/>
      <c r="H43" s="106"/>
      <c r="I43" s="106"/>
      <c r="J43" s="106"/>
      <c r="K43" s="208">
        <v>0.1</v>
      </c>
      <c r="L43" s="208">
        <v>0.15</v>
      </c>
      <c r="M43" s="208">
        <v>0.2</v>
      </c>
      <c r="N43" s="208">
        <v>0.18</v>
      </c>
      <c r="O43" s="208">
        <v>0.18</v>
      </c>
      <c r="P43" s="208">
        <v>0.18</v>
      </c>
    </row>
    <row r="44" spans="2:16" ht="15" customHeight="1" x14ac:dyDescent="0.3">
      <c r="B44" s="106"/>
      <c r="C44" s="166" t="s">
        <v>110</v>
      </c>
      <c r="D44" s="166"/>
      <c r="E44" s="114" t="s">
        <v>111</v>
      </c>
      <c r="F44" s="106"/>
      <c r="G44" s="106"/>
      <c r="H44" s="106"/>
      <c r="I44" s="106"/>
      <c r="J44" s="106"/>
      <c r="K44" s="208">
        <v>0.12</v>
      </c>
      <c r="L44" s="208">
        <v>0.18</v>
      </c>
      <c r="M44" s="208">
        <v>0.22</v>
      </c>
      <c r="N44" s="208">
        <v>0.2</v>
      </c>
      <c r="O44" s="208">
        <v>0.2</v>
      </c>
      <c r="P44" s="208">
        <v>0.2</v>
      </c>
    </row>
    <row r="45" spans="2:16" ht="15" customHeight="1" x14ac:dyDescent="0.3">
      <c r="B45" s="106"/>
      <c r="C45" s="188" t="s">
        <v>475</v>
      </c>
      <c r="D45" s="188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</row>
    <row r="46" spans="2:16" ht="19.8" customHeight="1" x14ac:dyDescent="0.3">
      <c r="B46" s="106"/>
      <c r="C46" s="205" t="s">
        <v>471</v>
      </c>
      <c r="D46" s="166"/>
      <c r="E46" s="206" t="s">
        <v>111</v>
      </c>
      <c r="F46" s="106"/>
      <c r="G46" s="106"/>
      <c r="H46" s="106"/>
      <c r="I46" s="106"/>
      <c r="J46" s="106"/>
      <c r="K46" s="207">
        <f>INDEX(K47:K49,$D$7)</f>
        <v>0.25</v>
      </c>
      <c r="L46" s="207">
        <f t="shared" ref="L46:P46" si="4">INDEX(L47:L49,$D$7)</f>
        <v>0.35</v>
      </c>
      <c r="M46" s="207">
        <f t="shared" si="4"/>
        <v>0.38</v>
      </c>
      <c r="N46" s="207">
        <f t="shared" si="4"/>
        <v>0.35</v>
      </c>
      <c r="O46" s="207">
        <f t="shared" si="4"/>
        <v>0.35</v>
      </c>
      <c r="P46" s="207">
        <f t="shared" si="4"/>
        <v>0.35</v>
      </c>
    </row>
    <row r="47" spans="2:16" ht="15" customHeight="1" x14ac:dyDescent="0.3">
      <c r="B47" s="106"/>
      <c r="C47" s="166" t="s">
        <v>108</v>
      </c>
      <c r="D47" s="166"/>
      <c r="E47" s="114" t="s">
        <v>111</v>
      </c>
      <c r="F47" s="106"/>
      <c r="G47" s="106"/>
      <c r="H47" s="106"/>
      <c r="I47" s="106"/>
      <c r="J47" s="106"/>
      <c r="K47" s="208">
        <v>0.3</v>
      </c>
      <c r="L47" s="208">
        <v>0.45</v>
      </c>
      <c r="M47" s="208">
        <v>0.45</v>
      </c>
      <c r="N47" s="208">
        <v>0.4</v>
      </c>
      <c r="O47" s="208">
        <v>0.4</v>
      </c>
      <c r="P47" s="208">
        <v>0.4</v>
      </c>
    </row>
    <row r="48" spans="2:16" ht="15" customHeight="1" x14ac:dyDescent="0.3">
      <c r="B48" s="106"/>
      <c r="C48" s="166" t="s">
        <v>109</v>
      </c>
      <c r="D48" s="166"/>
      <c r="E48" s="114" t="s">
        <v>111</v>
      </c>
      <c r="F48" s="106"/>
      <c r="G48" s="106"/>
      <c r="H48" s="106"/>
      <c r="I48" s="106"/>
      <c r="J48" s="106"/>
      <c r="K48" s="208">
        <v>0.25</v>
      </c>
      <c r="L48" s="208">
        <v>0.35</v>
      </c>
      <c r="M48" s="208">
        <v>0.38</v>
      </c>
      <c r="N48" s="208">
        <v>0.35</v>
      </c>
      <c r="O48" s="208">
        <v>0.35</v>
      </c>
      <c r="P48" s="208">
        <v>0.35</v>
      </c>
    </row>
    <row r="49" spans="2:16" ht="15" customHeight="1" x14ac:dyDescent="0.3">
      <c r="B49" s="106"/>
      <c r="C49" s="166" t="s">
        <v>110</v>
      </c>
      <c r="D49" s="166"/>
      <c r="E49" s="114" t="s">
        <v>111</v>
      </c>
      <c r="F49" s="106"/>
      <c r="G49" s="106"/>
      <c r="H49" s="106"/>
      <c r="I49" s="106"/>
      <c r="J49" s="106"/>
      <c r="K49" s="208">
        <v>0.22</v>
      </c>
      <c r="L49" s="208">
        <v>0.28000000000000003</v>
      </c>
      <c r="M49" s="208">
        <v>0.32</v>
      </c>
      <c r="N49" s="208">
        <v>0.3</v>
      </c>
      <c r="O49" s="208">
        <v>0.3</v>
      </c>
      <c r="P49" s="208">
        <v>0.3</v>
      </c>
    </row>
    <row r="50" spans="2:16" x14ac:dyDescent="0.3">
      <c r="B50" s="106"/>
      <c r="C50" s="106"/>
      <c r="D50" s="106"/>
      <c r="E50" s="114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</row>
    <row r="51" spans="2:16" x14ac:dyDescent="0.3">
      <c r="B51" s="106"/>
      <c r="C51" s="106"/>
      <c r="D51" s="106"/>
      <c r="E51" s="114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</row>
    <row r="52" spans="2:16" ht="24" customHeight="1" x14ac:dyDescent="0.3">
      <c r="B52" s="106"/>
      <c r="C52" s="151" t="s">
        <v>476</v>
      </c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</row>
    <row r="53" spans="2:16" ht="15" customHeight="1" x14ac:dyDescent="0.3">
      <c r="B53" s="106"/>
      <c r="C53" s="143" t="s">
        <v>141</v>
      </c>
      <c r="D53" s="143"/>
      <c r="E53" s="143" t="s">
        <v>107</v>
      </c>
      <c r="F53" s="144"/>
      <c r="G53" s="144"/>
      <c r="H53" s="144"/>
      <c r="I53" s="144"/>
      <c r="J53" s="144" t="s">
        <v>82</v>
      </c>
      <c r="K53" s="144" t="s">
        <v>83</v>
      </c>
      <c r="L53" s="144" t="s">
        <v>84</v>
      </c>
      <c r="M53" s="144" t="s">
        <v>85</v>
      </c>
      <c r="N53" s="144" t="s">
        <v>86</v>
      </c>
      <c r="O53" s="144" t="s">
        <v>87</v>
      </c>
      <c r="P53" s="144" t="s">
        <v>88</v>
      </c>
    </row>
    <row r="54" spans="2:16" ht="15" customHeight="1" x14ac:dyDescent="0.3">
      <c r="B54" s="106"/>
      <c r="C54" s="188" t="s">
        <v>477</v>
      </c>
      <c r="D54" s="188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</row>
    <row r="55" spans="2:16" ht="15" customHeight="1" x14ac:dyDescent="0.3">
      <c r="B55" s="106"/>
      <c r="C55" s="166" t="s">
        <v>478</v>
      </c>
      <c r="D55" s="166"/>
      <c r="E55" s="114" t="s">
        <v>111</v>
      </c>
      <c r="F55" s="106"/>
      <c r="G55" s="106"/>
      <c r="H55" s="106"/>
      <c r="I55" s="106"/>
      <c r="J55" s="106"/>
      <c r="K55" s="171">
        <v>0.08</v>
      </c>
      <c r="L55" s="171">
        <v>0.08</v>
      </c>
      <c r="M55" s="171">
        <v>0.08</v>
      </c>
      <c r="N55" s="171">
        <v>0.08</v>
      </c>
      <c r="O55" s="171">
        <v>0.08</v>
      </c>
      <c r="P55" s="171">
        <v>0.08</v>
      </c>
    </row>
    <row r="56" spans="2:16" ht="15" customHeight="1" x14ac:dyDescent="0.3">
      <c r="B56" s="106"/>
      <c r="C56" s="166" t="s">
        <v>479</v>
      </c>
      <c r="D56" s="166"/>
      <c r="E56" s="114" t="s">
        <v>111</v>
      </c>
      <c r="F56" s="106"/>
      <c r="G56" s="106"/>
      <c r="H56" s="106"/>
      <c r="I56" s="106"/>
      <c r="J56" s="106"/>
      <c r="K56" s="171">
        <v>4.5999999999999999E-3</v>
      </c>
      <c r="L56" s="171">
        <v>4.5999999999999999E-3</v>
      </c>
      <c r="M56" s="171">
        <v>4.5999999999999999E-3</v>
      </c>
      <c r="N56" s="171">
        <v>4.5999999999999999E-3</v>
      </c>
      <c r="O56" s="171">
        <v>4.5999999999999999E-3</v>
      </c>
      <c r="P56" s="171">
        <v>4.5999999999999999E-3</v>
      </c>
    </row>
    <row r="57" spans="2:16" ht="15" customHeight="1" x14ac:dyDescent="0.3">
      <c r="B57" s="106"/>
      <c r="C57" s="166" t="s">
        <v>377</v>
      </c>
      <c r="D57" s="166"/>
      <c r="E57" s="114" t="s">
        <v>111</v>
      </c>
      <c r="F57" s="106"/>
      <c r="G57" s="106"/>
      <c r="H57" s="106"/>
      <c r="I57" s="106"/>
      <c r="J57" s="106"/>
      <c r="K57" s="171">
        <v>0.1</v>
      </c>
      <c r="L57" s="171">
        <v>0.1</v>
      </c>
      <c r="M57" s="171">
        <v>0.1</v>
      </c>
      <c r="N57" s="171">
        <v>0.1</v>
      </c>
      <c r="O57" s="171">
        <v>0.1</v>
      </c>
      <c r="P57" s="171">
        <v>0.1</v>
      </c>
    </row>
    <row r="58" spans="2:16" ht="15" customHeight="1" x14ac:dyDescent="0.3">
      <c r="B58" s="106"/>
      <c r="C58" s="166" t="s">
        <v>381</v>
      </c>
      <c r="D58" s="166"/>
      <c r="E58" s="114" t="s">
        <v>111</v>
      </c>
      <c r="F58" s="106"/>
      <c r="G58" s="106"/>
      <c r="H58" s="106"/>
      <c r="I58" s="106"/>
      <c r="J58" s="106"/>
      <c r="K58" s="171">
        <v>0.08</v>
      </c>
      <c r="L58" s="171">
        <v>0.08</v>
      </c>
      <c r="M58" s="171">
        <v>0.08</v>
      </c>
      <c r="N58" s="171">
        <v>0.08</v>
      </c>
      <c r="O58" s="171">
        <v>0.08</v>
      </c>
      <c r="P58" s="171">
        <v>0.08</v>
      </c>
    </row>
    <row r="59" spans="2:16" ht="15" customHeight="1" x14ac:dyDescent="0.3">
      <c r="B59" s="106"/>
      <c r="C59" s="166" t="s">
        <v>480</v>
      </c>
      <c r="D59" s="166"/>
      <c r="E59" s="114" t="s">
        <v>148</v>
      </c>
      <c r="F59" s="106"/>
      <c r="G59" s="106"/>
      <c r="H59" s="106"/>
      <c r="I59" s="106"/>
      <c r="J59" s="106"/>
      <c r="K59" s="115">
        <v>0</v>
      </c>
      <c r="L59" s="115">
        <v>0</v>
      </c>
      <c r="M59" s="115">
        <v>0</v>
      </c>
      <c r="N59" s="115">
        <v>0</v>
      </c>
      <c r="O59" s="115">
        <v>0</v>
      </c>
      <c r="P59" s="115">
        <v>0</v>
      </c>
    </row>
    <row r="60" spans="2:16" ht="15" customHeight="1" x14ac:dyDescent="0.3">
      <c r="B60" s="106"/>
      <c r="C60" s="188" t="s">
        <v>481</v>
      </c>
      <c r="D60" s="188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</row>
    <row r="61" spans="2:16" ht="15" customHeight="1" x14ac:dyDescent="0.3">
      <c r="B61" s="106"/>
      <c r="C61" s="166" t="s">
        <v>576</v>
      </c>
      <c r="D61" s="166"/>
      <c r="E61" s="114" t="s">
        <v>577</v>
      </c>
      <c r="F61" s="106"/>
      <c r="G61" s="106"/>
      <c r="H61" s="106"/>
      <c r="I61" s="106"/>
      <c r="J61" s="106"/>
      <c r="K61" s="132">
        <v>7</v>
      </c>
      <c r="L61" s="106"/>
      <c r="M61" s="106"/>
      <c r="N61" s="106"/>
      <c r="O61" s="106"/>
      <c r="P61" s="106"/>
    </row>
    <row r="62" spans="2:16" ht="15" customHeight="1" x14ac:dyDescent="0.3">
      <c r="B62" s="106"/>
      <c r="C62" s="166" t="s">
        <v>578</v>
      </c>
      <c r="D62" s="166"/>
      <c r="E62" s="114" t="s">
        <v>577</v>
      </c>
      <c r="F62" s="106"/>
      <c r="G62" s="106"/>
      <c r="H62" s="106"/>
      <c r="I62" s="106"/>
      <c r="J62" s="106"/>
      <c r="K62" s="132">
        <v>10</v>
      </c>
      <c r="L62" s="132"/>
      <c r="M62" s="132"/>
      <c r="N62" s="132"/>
      <c r="O62" s="132"/>
      <c r="P62" s="132"/>
    </row>
    <row r="63" spans="2:16" ht="15" customHeight="1" x14ac:dyDescent="0.3">
      <c r="B63" s="106"/>
      <c r="C63" s="166" t="s">
        <v>482</v>
      </c>
      <c r="D63" s="166"/>
      <c r="E63" s="114" t="s">
        <v>111</v>
      </c>
      <c r="F63" s="106"/>
      <c r="G63" s="106"/>
      <c r="H63" s="106"/>
      <c r="I63" s="106"/>
      <c r="J63" s="106"/>
      <c r="K63" s="171">
        <v>0.08</v>
      </c>
      <c r="L63" s="171">
        <v>0.08</v>
      </c>
      <c r="M63" s="171">
        <v>0.08</v>
      </c>
      <c r="N63" s="171">
        <v>0.08</v>
      </c>
      <c r="O63" s="171">
        <v>0.08</v>
      </c>
      <c r="P63" s="171">
        <v>0.08</v>
      </c>
    </row>
    <row r="64" spans="2:16" ht="15" customHeight="1" x14ac:dyDescent="0.3">
      <c r="B64" s="106"/>
      <c r="C64" s="188" t="s">
        <v>483</v>
      </c>
      <c r="D64" s="188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</row>
    <row r="65" spans="2:16" ht="15" customHeight="1" x14ac:dyDescent="0.3">
      <c r="B65" s="106"/>
      <c r="C65" s="166" t="s">
        <v>403</v>
      </c>
      <c r="D65" s="166"/>
      <c r="E65" s="114" t="s">
        <v>347</v>
      </c>
      <c r="F65" s="106"/>
      <c r="G65" s="106"/>
      <c r="H65" s="106"/>
      <c r="I65" s="106"/>
      <c r="J65" s="106"/>
      <c r="K65" s="132">
        <v>76</v>
      </c>
      <c r="L65" s="132">
        <v>76</v>
      </c>
      <c r="M65" s="132">
        <v>76</v>
      </c>
      <c r="N65" s="132">
        <v>76</v>
      </c>
      <c r="O65" s="132">
        <v>76</v>
      </c>
      <c r="P65" s="132">
        <v>76</v>
      </c>
    </row>
    <row r="66" spans="2:16" ht="15" customHeight="1" x14ac:dyDescent="0.3">
      <c r="B66" s="106"/>
      <c r="C66" s="166" t="s">
        <v>405</v>
      </c>
      <c r="D66" s="166"/>
      <c r="E66" s="114" t="s">
        <v>347</v>
      </c>
      <c r="F66" s="106"/>
      <c r="G66" s="106"/>
      <c r="H66" s="106"/>
      <c r="I66" s="106"/>
      <c r="J66" s="106"/>
      <c r="K66" s="132">
        <v>150</v>
      </c>
      <c r="L66" s="132">
        <v>150</v>
      </c>
      <c r="M66" s="132">
        <v>150</v>
      </c>
      <c r="N66" s="132">
        <v>150</v>
      </c>
      <c r="O66" s="132">
        <v>150</v>
      </c>
      <c r="P66" s="132">
        <v>150</v>
      </c>
    </row>
    <row r="67" spans="2:16" ht="15" customHeight="1" x14ac:dyDescent="0.3">
      <c r="B67" s="106"/>
      <c r="C67" s="166" t="s">
        <v>407</v>
      </c>
      <c r="D67" s="166"/>
      <c r="E67" s="114" t="s">
        <v>347</v>
      </c>
      <c r="F67" s="106"/>
      <c r="G67" s="106"/>
      <c r="H67" s="106"/>
      <c r="I67" s="106"/>
      <c r="J67" s="106"/>
      <c r="K67" s="132">
        <v>128</v>
      </c>
      <c r="L67" s="132">
        <v>128</v>
      </c>
      <c r="M67" s="132">
        <v>128</v>
      </c>
      <c r="N67" s="132">
        <v>128</v>
      </c>
      <c r="O67" s="132">
        <v>128</v>
      </c>
      <c r="P67" s="132">
        <v>128</v>
      </c>
    </row>
    <row r="68" spans="2:16" ht="15" customHeight="1" x14ac:dyDescent="0.3">
      <c r="B68" s="106"/>
      <c r="C68" s="166" t="s">
        <v>596</v>
      </c>
      <c r="D68" s="166"/>
      <c r="E68" s="114" t="s">
        <v>347</v>
      </c>
      <c r="F68" s="106"/>
      <c r="G68" s="106"/>
      <c r="H68" s="106"/>
      <c r="I68" s="106"/>
      <c r="J68" s="106"/>
      <c r="K68" s="132">
        <v>15</v>
      </c>
      <c r="L68" s="132">
        <v>15</v>
      </c>
      <c r="M68" s="132">
        <v>15</v>
      </c>
      <c r="N68" s="132">
        <v>15</v>
      </c>
      <c r="O68" s="132">
        <v>15</v>
      </c>
      <c r="P68" s="132">
        <v>15</v>
      </c>
    </row>
    <row r="69" spans="2:16" ht="15" customHeight="1" x14ac:dyDescent="0.3">
      <c r="B69" s="106"/>
      <c r="C69" s="166" t="s">
        <v>597</v>
      </c>
      <c r="D69" s="166"/>
      <c r="E69" s="114" t="s">
        <v>347</v>
      </c>
      <c r="F69" s="106"/>
      <c r="G69" s="106"/>
      <c r="H69" s="106"/>
      <c r="I69" s="106"/>
      <c r="J69" s="106"/>
      <c r="K69" s="132">
        <v>16</v>
      </c>
      <c r="L69" s="132">
        <v>16</v>
      </c>
      <c r="M69" s="132">
        <v>16</v>
      </c>
      <c r="N69" s="132">
        <v>16</v>
      </c>
      <c r="O69" s="132">
        <v>16</v>
      </c>
      <c r="P69" s="132">
        <v>16</v>
      </c>
    </row>
    <row r="70" spans="2:16" ht="15" customHeight="1" x14ac:dyDescent="0.3">
      <c r="B70" s="106"/>
      <c r="C70" s="188" t="s">
        <v>258</v>
      </c>
      <c r="D70" s="188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</row>
    <row r="71" spans="2:16" ht="15" customHeight="1" x14ac:dyDescent="0.3">
      <c r="B71" s="106"/>
      <c r="C71" s="166" t="s">
        <v>414</v>
      </c>
      <c r="D71" s="166"/>
      <c r="E71" s="114" t="s">
        <v>111</v>
      </c>
      <c r="F71" s="106"/>
      <c r="G71" s="106"/>
      <c r="H71" s="106"/>
      <c r="I71" s="106"/>
      <c r="J71" s="106"/>
      <c r="K71" s="171">
        <v>0.15</v>
      </c>
      <c r="L71" s="171">
        <v>0.15</v>
      </c>
      <c r="M71" s="171">
        <v>0.15</v>
      </c>
      <c r="N71" s="171">
        <v>0.15</v>
      </c>
      <c r="O71" s="171">
        <v>0.15</v>
      </c>
      <c r="P71" s="171">
        <v>0.15</v>
      </c>
    </row>
    <row r="72" spans="2:16" ht="15" customHeight="1" x14ac:dyDescent="0.3">
      <c r="B72" s="106"/>
      <c r="C72" s="166" t="s">
        <v>609</v>
      </c>
      <c r="D72" s="166"/>
      <c r="E72" s="114" t="s">
        <v>111</v>
      </c>
      <c r="F72" s="106"/>
      <c r="G72" s="106"/>
      <c r="H72" s="106"/>
      <c r="I72" s="106"/>
      <c r="J72" s="106"/>
      <c r="K72" s="171">
        <v>0.21</v>
      </c>
      <c r="L72" s="171">
        <v>0.21</v>
      </c>
      <c r="M72" s="171">
        <v>0.21</v>
      </c>
      <c r="N72" s="171">
        <v>0.21</v>
      </c>
      <c r="O72" s="171">
        <v>0.21</v>
      </c>
      <c r="P72" s="171">
        <v>0.21</v>
      </c>
    </row>
    <row r="73" spans="2:16" ht="15" customHeight="1" x14ac:dyDescent="0.3">
      <c r="B73" s="106"/>
      <c r="C73" s="166" t="s">
        <v>610</v>
      </c>
      <c r="D73" s="166"/>
      <c r="E73" s="114" t="s">
        <v>111</v>
      </c>
      <c r="F73" s="106"/>
      <c r="G73" s="106"/>
      <c r="H73" s="106"/>
      <c r="I73" s="106"/>
      <c r="J73" s="106"/>
      <c r="K73" s="171">
        <v>0</v>
      </c>
      <c r="L73" s="171">
        <v>0</v>
      </c>
      <c r="M73" s="171">
        <v>0</v>
      </c>
      <c r="N73" s="171">
        <v>0</v>
      </c>
      <c r="O73" s="171">
        <v>0</v>
      </c>
      <c r="P73" s="171">
        <v>0</v>
      </c>
    </row>
    <row r="74" spans="2:16" ht="15" customHeight="1" x14ac:dyDescent="0.3">
      <c r="B74" s="106"/>
      <c r="C74" s="188" t="s">
        <v>484</v>
      </c>
      <c r="D74" s="188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</row>
    <row r="75" spans="2:16" ht="15" customHeight="1" x14ac:dyDescent="0.3">
      <c r="B75" s="106"/>
      <c r="C75" s="166" t="s">
        <v>485</v>
      </c>
      <c r="D75" s="166"/>
      <c r="E75" s="114" t="s">
        <v>148</v>
      </c>
      <c r="F75" s="106"/>
      <c r="G75" s="106"/>
      <c r="H75" s="106"/>
      <c r="I75" s="106"/>
      <c r="J75" s="115">
        <v>1270</v>
      </c>
      <c r="K75" s="106"/>
      <c r="L75" s="106"/>
      <c r="M75" s="106"/>
      <c r="N75" s="106"/>
      <c r="O75" s="106"/>
      <c r="P75" s="106"/>
    </row>
    <row r="76" spans="2:16" ht="15" customHeight="1" x14ac:dyDescent="0.3">
      <c r="B76" s="106"/>
      <c r="C76" s="166" t="s">
        <v>486</v>
      </c>
      <c r="D76" s="166"/>
      <c r="E76" s="114" t="s">
        <v>111</v>
      </c>
      <c r="F76" s="106"/>
      <c r="G76" s="106"/>
      <c r="H76" s="106"/>
      <c r="I76" s="106"/>
      <c r="J76" s="106"/>
      <c r="K76" s="171">
        <v>0.1</v>
      </c>
      <c r="L76" s="171">
        <v>0.1</v>
      </c>
      <c r="M76" s="171">
        <v>0.1</v>
      </c>
      <c r="N76" s="171">
        <v>0.1</v>
      </c>
      <c r="O76" s="171">
        <v>0.1</v>
      </c>
      <c r="P76" s="171">
        <v>0.1</v>
      </c>
    </row>
    <row r="77" spans="2:16" ht="15" customHeight="1" x14ac:dyDescent="0.3">
      <c r="B77" s="106"/>
      <c r="C77" s="166" t="s">
        <v>67</v>
      </c>
      <c r="D77" s="166"/>
      <c r="E77" s="114" t="s">
        <v>156</v>
      </c>
      <c r="F77" s="106"/>
      <c r="G77" s="106"/>
      <c r="H77" s="106"/>
      <c r="I77" s="106"/>
      <c r="J77" s="106"/>
      <c r="K77" s="132">
        <v>1150</v>
      </c>
      <c r="L77" s="132">
        <v>1150</v>
      </c>
      <c r="M77" s="132">
        <v>1150</v>
      </c>
      <c r="N77" s="132">
        <v>1150</v>
      </c>
      <c r="O77" s="132">
        <v>1150</v>
      </c>
      <c r="P77" s="132">
        <v>1150</v>
      </c>
    </row>
    <row r="78" spans="2:16" ht="15" customHeight="1" x14ac:dyDescent="0.3">
      <c r="B78" s="106"/>
      <c r="C78" s="166" t="s">
        <v>487</v>
      </c>
      <c r="D78" s="166"/>
      <c r="E78" s="114" t="s">
        <v>111</v>
      </c>
      <c r="F78" s="106"/>
      <c r="G78" s="106"/>
      <c r="H78" s="106"/>
      <c r="I78" s="106"/>
      <c r="J78" s="106"/>
      <c r="K78" s="171">
        <v>1</v>
      </c>
      <c r="L78" s="171">
        <v>1</v>
      </c>
      <c r="M78" s="171">
        <v>1</v>
      </c>
      <c r="N78" s="171">
        <v>1</v>
      </c>
      <c r="O78" s="171">
        <v>1</v>
      </c>
      <c r="P78" s="171">
        <v>1</v>
      </c>
    </row>
    <row r="79" spans="2:16" ht="15" customHeight="1" x14ac:dyDescent="0.3">
      <c r="B79" s="106"/>
      <c r="C79" s="166" t="s">
        <v>488</v>
      </c>
      <c r="D79" s="166"/>
      <c r="E79" s="114" t="s">
        <v>155</v>
      </c>
      <c r="F79" s="106"/>
      <c r="G79" s="106"/>
      <c r="H79" s="106"/>
      <c r="I79" s="106"/>
      <c r="J79" s="106"/>
      <c r="K79" s="126">
        <v>0.6</v>
      </c>
      <c r="L79" s="126"/>
      <c r="M79" s="126"/>
      <c r="N79" s="126"/>
      <c r="O79" s="126"/>
      <c r="P79" s="126"/>
    </row>
    <row r="80" spans="2:16" ht="15" customHeight="1" x14ac:dyDescent="0.3">
      <c r="B80" s="106"/>
      <c r="C80" s="166" t="s">
        <v>489</v>
      </c>
      <c r="D80" s="166"/>
      <c r="E80" s="114" t="s">
        <v>111</v>
      </c>
      <c r="F80" s="106"/>
      <c r="G80" s="106"/>
      <c r="H80" s="106"/>
      <c r="I80" s="106"/>
      <c r="J80" s="106"/>
      <c r="K80" s="171"/>
      <c r="L80" s="171">
        <v>0.1</v>
      </c>
      <c r="M80" s="171">
        <v>0.1</v>
      </c>
      <c r="N80" s="171">
        <v>0.1</v>
      </c>
      <c r="O80" s="171">
        <v>0.1</v>
      </c>
      <c r="P80" s="171">
        <v>0.1</v>
      </c>
    </row>
    <row r="81" spans="2:16" ht="15" customHeight="1" x14ac:dyDescent="0.3">
      <c r="B81" s="106"/>
      <c r="C81" s="188" t="s">
        <v>490</v>
      </c>
      <c r="D81" s="188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</row>
    <row r="82" spans="2:16" ht="15" customHeight="1" x14ac:dyDescent="0.3">
      <c r="B82" s="106"/>
      <c r="C82" s="166" t="s">
        <v>491</v>
      </c>
      <c r="D82" s="166"/>
      <c r="E82" s="114" t="s">
        <v>111</v>
      </c>
      <c r="F82" s="106"/>
      <c r="G82" s="106"/>
      <c r="H82" s="106"/>
      <c r="I82" s="106"/>
      <c r="J82" s="106"/>
      <c r="K82" s="171">
        <v>3.5000000000000003E-2</v>
      </c>
      <c r="L82" s="171">
        <v>3.5000000000000003E-2</v>
      </c>
      <c r="M82" s="171">
        <v>3.5000000000000003E-2</v>
      </c>
      <c r="N82" s="171">
        <v>3.5000000000000003E-2</v>
      </c>
      <c r="O82" s="171">
        <v>3.5000000000000003E-2</v>
      </c>
      <c r="P82" s="171">
        <v>3.5000000000000003E-2</v>
      </c>
    </row>
    <row r="83" spans="2:16" ht="15" customHeight="1" x14ac:dyDescent="0.3">
      <c r="B83" s="106"/>
      <c r="C83" s="166" t="s">
        <v>620</v>
      </c>
      <c r="D83" s="166"/>
      <c r="E83" s="114" t="s">
        <v>111</v>
      </c>
      <c r="F83" s="106"/>
      <c r="G83" s="106"/>
      <c r="H83" s="106"/>
      <c r="I83" s="106"/>
      <c r="J83" s="106"/>
      <c r="K83" s="171">
        <v>0.04</v>
      </c>
      <c r="L83" s="171">
        <v>0.04</v>
      </c>
      <c r="M83" s="171">
        <v>0.04</v>
      </c>
      <c r="N83" s="171">
        <v>0.04</v>
      </c>
      <c r="O83" s="171">
        <v>0.04</v>
      </c>
      <c r="P83" s="171">
        <v>0.04</v>
      </c>
    </row>
    <row r="84" spans="2:16" ht="15" customHeight="1" x14ac:dyDescent="0.3">
      <c r="B84" s="106"/>
      <c r="C84" s="166" t="s">
        <v>621</v>
      </c>
      <c r="D84" s="166"/>
      <c r="E84" s="114" t="s">
        <v>148</v>
      </c>
      <c r="F84" s="106"/>
      <c r="G84" s="106"/>
      <c r="H84" s="106"/>
      <c r="I84" s="106"/>
      <c r="J84" s="106"/>
      <c r="K84" s="115">
        <v>0</v>
      </c>
      <c r="L84" s="115">
        <v>0</v>
      </c>
      <c r="M84" s="115">
        <v>0</v>
      </c>
      <c r="N84" s="115">
        <v>0</v>
      </c>
      <c r="O84" s="115">
        <v>-261</v>
      </c>
      <c r="P84" s="115">
        <v>-996</v>
      </c>
    </row>
    <row r="85" spans="2:16" ht="15" customHeight="1" x14ac:dyDescent="0.3">
      <c r="B85" s="106"/>
      <c r="C85" s="166" t="s">
        <v>622</v>
      </c>
      <c r="D85" s="166"/>
      <c r="E85" s="114" t="s">
        <v>111</v>
      </c>
      <c r="F85" s="266">
        <v>3.6200000000000003E-2</v>
      </c>
      <c r="G85" s="106"/>
      <c r="H85" s="106"/>
      <c r="I85" s="106"/>
      <c r="J85" s="106"/>
      <c r="K85" s="171">
        <f>$F$85+1%</f>
        <v>4.6200000000000005E-2</v>
      </c>
      <c r="L85" s="171">
        <f t="shared" ref="L85:P85" si="5">$F$85+1%</f>
        <v>4.6200000000000005E-2</v>
      </c>
      <c r="M85" s="171">
        <f t="shared" si="5"/>
        <v>4.6200000000000005E-2</v>
      </c>
      <c r="N85" s="171">
        <f t="shared" si="5"/>
        <v>4.6200000000000005E-2</v>
      </c>
      <c r="O85" s="171">
        <f t="shared" si="5"/>
        <v>4.6200000000000005E-2</v>
      </c>
      <c r="P85" s="171">
        <f t="shared" si="5"/>
        <v>4.6200000000000005E-2</v>
      </c>
    </row>
    <row r="86" spans="2:16" ht="15" customHeight="1" x14ac:dyDescent="0.3">
      <c r="B86" s="106"/>
      <c r="C86" s="166" t="s">
        <v>623</v>
      </c>
      <c r="D86" s="166"/>
      <c r="E86" s="114" t="s">
        <v>111</v>
      </c>
      <c r="F86" s="106"/>
      <c r="G86" s="106"/>
      <c r="H86" s="106"/>
      <c r="I86" s="106"/>
      <c r="J86" s="106"/>
      <c r="K86" s="171">
        <v>4.7199999999999999E-2</v>
      </c>
      <c r="L86" s="171">
        <v>4.7199999999999999E-2</v>
      </c>
      <c r="M86" s="171">
        <v>4.7199999999999999E-2</v>
      </c>
      <c r="N86" s="171">
        <v>4.7199999999999999E-2</v>
      </c>
      <c r="O86" s="171">
        <v>4.7199999999999999E-2</v>
      </c>
      <c r="P86" s="171">
        <v>4.7199999999999999E-2</v>
      </c>
    </row>
    <row r="87" spans="2:16" ht="15" customHeight="1" x14ac:dyDescent="0.3">
      <c r="B87" s="106"/>
      <c r="C87" s="166" t="s">
        <v>624</v>
      </c>
      <c r="D87" s="166"/>
      <c r="E87" s="114" t="s">
        <v>148</v>
      </c>
      <c r="F87" s="106"/>
      <c r="G87" s="106"/>
      <c r="H87" s="106"/>
      <c r="I87" s="106"/>
      <c r="J87" s="106"/>
      <c r="K87" s="115">
        <v>0</v>
      </c>
      <c r="L87" s="115">
        <v>0</v>
      </c>
      <c r="M87" s="115">
        <v>0</v>
      </c>
      <c r="N87" s="115">
        <v>0</v>
      </c>
      <c r="O87" s="115">
        <v>0</v>
      </c>
      <c r="P87" s="115">
        <v>0</v>
      </c>
    </row>
    <row r="88" spans="2:16" ht="15" customHeight="1" x14ac:dyDescent="0.3">
      <c r="B88" s="106"/>
      <c r="C88" s="166" t="s">
        <v>625</v>
      </c>
      <c r="D88" s="166"/>
      <c r="E88" s="114" t="s">
        <v>148</v>
      </c>
      <c r="F88" s="106"/>
      <c r="G88" s="106"/>
      <c r="H88" s="106"/>
      <c r="I88" s="106"/>
      <c r="J88" s="115">
        <v>3044</v>
      </c>
      <c r="K88" s="106"/>
      <c r="L88" s="106"/>
      <c r="M88" s="106"/>
      <c r="N88" s="106"/>
      <c r="O88" s="106"/>
      <c r="P88" s="106"/>
    </row>
    <row r="89" spans="2:16" ht="15" customHeight="1" x14ac:dyDescent="0.3">
      <c r="B89" s="106"/>
      <c r="C89" s="166" t="s">
        <v>626</v>
      </c>
      <c r="D89" s="166"/>
      <c r="E89" s="114" t="s">
        <v>148</v>
      </c>
      <c r="F89" s="106"/>
      <c r="G89" s="106"/>
      <c r="H89" s="106"/>
      <c r="I89" s="106"/>
      <c r="J89" s="115">
        <v>2670</v>
      </c>
      <c r="K89" s="106"/>
      <c r="L89" s="106"/>
      <c r="M89" s="106"/>
      <c r="N89" s="106"/>
      <c r="O89" s="106"/>
      <c r="P89" s="106"/>
    </row>
    <row r="90" spans="2:16" ht="27.6" customHeight="1" x14ac:dyDescent="0.3">
      <c r="B90" s="106"/>
      <c r="C90" s="198" t="s">
        <v>492</v>
      </c>
      <c r="D90" s="198"/>
      <c r="E90" s="199" t="s">
        <v>148</v>
      </c>
      <c r="F90" s="106"/>
      <c r="G90" s="106"/>
      <c r="H90" s="106"/>
      <c r="I90" s="106"/>
      <c r="J90" s="106"/>
      <c r="K90" s="115">
        <v>0</v>
      </c>
      <c r="L90" s="115">
        <v>0</v>
      </c>
      <c r="M90" s="115">
        <v>0</v>
      </c>
      <c r="N90" s="115">
        <v>0</v>
      </c>
      <c r="O90" s="115">
        <v>0</v>
      </c>
      <c r="P90" s="115">
        <v>0</v>
      </c>
    </row>
    <row r="91" spans="2:16" x14ac:dyDescent="0.3">
      <c r="B91" s="106"/>
      <c r="C91" s="106"/>
      <c r="D91" s="106"/>
      <c r="E91" s="114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</row>
    <row r="92" spans="2:16" ht="24" customHeight="1" x14ac:dyDescent="0.3">
      <c r="B92" s="106"/>
      <c r="C92" s="151" t="s">
        <v>801</v>
      </c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</row>
    <row r="93" spans="2:16" ht="27.6" customHeight="1" x14ac:dyDescent="0.3">
      <c r="B93" s="106"/>
      <c r="C93" s="198" t="s">
        <v>802</v>
      </c>
      <c r="D93" s="198"/>
      <c r="E93" s="199" t="s">
        <v>577</v>
      </c>
      <c r="F93" s="106"/>
      <c r="G93" s="106"/>
      <c r="H93" s="106"/>
      <c r="I93" s="106"/>
      <c r="J93" s="106"/>
      <c r="K93" s="175">
        <v>0.5</v>
      </c>
      <c r="L93" s="106"/>
      <c r="M93" s="106"/>
      <c r="N93" s="106"/>
      <c r="O93" s="106"/>
      <c r="P93" s="10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Drop Down 3">
              <controlPr defaultSize="0" autoLine="0" autoPict="0">
                <anchor moveWithCells="1">
                  <from>
                    <xdr:col>2</xdr:col>
                    <xdr:colOff>1767840</xdr:colOff>
                    <xdr:row>6</xdr:row>
                    <xdr:rowOff>45720</xdr:rowOff>
                  </from>
                  <to>
                    <xdr:col>4</xdr:col>
                    <xdr:colOff>533400</xdr:colOff>
                    <xdr:row>6</xdr:row>
                    <xdr:rowOff>251460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96CF-16B3-4BCC-8D7A-EF7D0E673052}">
  <sheetPr>
    <tabColor theme="9"/>
  </sheetPr>
  <dimension ref="A1:R222"/>
  <sheetViews>
    <sheetView showGridLines="0" topLeftCell="B199" zoomScale="145" zoomScaleNormal="145" workbookViewId="0">
      <selection activeCell="B216" sqref="B216:O216"/>
    </sheetView>
  </sheetViews>
  <sheetFormatPr defaultRowHeight="14.4" x14ac:dyDescent="0.3"/>
  <cols>
    <col min="1" max="1" width="2.5546875" customWidth="1"/>
    <col min="2" max="2" width="58.109375" customWidth="1"/>
    <col min="3" max="3" width="9.6640625" customWidth="1"/>
    <col min="4" max="8" width="12.21875" customWidth="1"/>
    <col min="9" max="9" width="2.5546875" customWidth="1"/>
    <col min="10" max="12" width="12.21875" customWidth="1"/>
    <col min="13" max="13" width="13.6640625" customWidth="1"/>
    <col min="14" max="14" width="2.5546875" customWidth="1"/>
    <col min="15" max="15" width="33.33203125" customWidth="1"/>
  </cols>
  <sheetData>
    <row r="1" spans="1:15" x14ac:dyDescent="0.3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37"/>
      <c r="N1" s="137"/>
      <c r="O1" s="137"/>
    </row>
    <row r="2" spans="1:15" ht="25.8" x14ac:dyDescent="0.5">
      <c r="A2" s="107"/>
      <c r="B2" s="178" t="str">
        <f>Cover!B2</f>
        <v>MICRON TECHNOLOGY, INC. (NASDAQ: MU)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80"/>
      <c r="N2" s="180"/>
      <c r="O2" s="180"/>
    </row>
    <row r="3" spans="1:15" ht="18" x14ac:dyDescent="0.35">
      <c r="A3" s="107"/>
      <c r="B3" s="181" t="s">
        <v>128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  <c r="N3" s="180"/>
      <c r="O3" s="180"/>
    </row>
    <row r="4" spans="1:15" x14ac:dyDescent="0.3">
      <c r="A4" s="108"/>
      <c r="B4" s="182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4"/>
      <c r="N4" s="184"/>
      <c r="O4" s="184"/>
    </row>
    <row r="5" spans="1:15" x14ac:dyDescent="0.3">
      <c r="A5" s="106"/>
      <c r="B5" s="106"/>
      <c r="C5" s="114"/>
      <c r="D5" s="106"/>
      <c r="E5" s="106"/>
      <c r="F5" s="106"/>
      <c r="G5" s="106"/>
      <c r="H5" s="106"/>
      <c r="I5" s="106"/>
      <c r="J5" s="106"/>
      <c r="K5" s="106"/>
      <c r="L5" s="106"/>
      <c r="M5" s="105"/>
      <c r="N5" s="105"/>
      <c r="O5" s="105"/>
    </row>
    <row r="6" spans="1:15" ht="24" customHeight="1" x14ac:dyDescent="0.3">
      <c r="A6" s="106"/>
      <c r="B6" s="148" t="s">
        <v>129</v>
      </c>
      <c r="C6" s="148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</row>
    <row r="7" spans="1:15" x14ac:dyDescent="0.3">
      <c r="A7" s="106"/>
      <c r="B7" s="110" t="s">
        <v>130</v>
      </c>
      <c r="C7" s="114"/>
      <c r="D7" s="109" t="s">
        <v>131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3">
      <c r="A8" s="106"/>
      <c r="B8" s="110" t="s">
        <v>132</v>
      </c>
      <c r="C8" s="114"/>
      <c r="D8" s="109" t="s">
        <v>133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3">
      <c r="A9" s="106"/>
      <c r="B9" s="110" t="s">
        <v>15</v>
      </c>
      <c r="C9" s="114"/>
      <c r="D9" s="109" t="s">
        <v>134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3">
      <c r="A10" s="106"/>
      <c r="B10" s="110" t="s">
        <v>135</v>
      </c>
      <c r="C10" s="114"/>
      <c r="D10" s="109" t="s">
        <v>136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3">
      <c r="A11" s="106"/>
      <c r="B11" s="110" t="s">
        <v>107</v>
      </c>
      <c r="C11" s="114"/>
      <c r="D11" s="109" t="s">
        <v>137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3">
      <c r="A12" s="106"/>
      <c r="B12" s="110" t="s">
        <v>138</v>
      </c>
      <c r="C12" s="114"/>
      <c r="D12" s="109" t="s">
        <v>230</v>
      </c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3">
      <c r="A13" s="106"/>
      <c r="B13" s="110" t="s">
        <v>139</v>
      </c>
      <c r="C13" s="114"/>
      <c r="D13" s="150">
        <f>Cover!C6</f>
        <v>46277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3">
      <c r="A14" s="106"/>
      <c r="B14" s="110" t="s">
        <v>140</v>
      </c>
      <c r="C14" s="114"/>
      <c r="D14" s="109" t="str">
        <f>Cover!C5</f>
        <v>Siddhanth Balakrishnan</v>
      </c>
      <c r="E14" s="106"/>
      <c r="F14" s="106"/>
      <c r="G14" s="106"/>
      <c r="H14" s="106"/>
      <c r="I14" s="106" t="s">
        <v>333</v>
      </c>
      <c r="J14" s="106"/>
      <c r="K14" s="106"/>
      <c r="L14" s="106"/>
      <c r="M14" s="106"/>
      <c r="N14" s="106"/>
      <c r="O14" s="106"/>
    </row>
    <row r="15" spans="1:15" x14ac:dyDescent="0.3">
      <c r="A15" s="106"/>
      <c r="B15" s="106"/>
      <c r="C15" s="114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ht="24" customHeight="1" x14ac:dyDescent="0.3">
      <c r="A16" s="106"/>
      <c r="B16" s="151" t="s">
        <v>259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</row>
    <row r="17" spans="1:15" ht="15" customHeight="1" x14ac:dyDescent="0.3">
      <c r="A17" s="106"/>
      <c r="B17" s="143" t="s">
        <v>141</v>
      </c>
      <c r="C17" s="143" t="s">
        <v>107</v>
      </c>
      <c r="D17" s="144" t="s">
        <v>142</v>
      </c>
      <c r="E17" s="144" t="s">
        <v>143</v>
      </c>
      <c r="F17" s="144" t="s">
        <v>144</v>
      </c>
      <c r="G17" s="144" t="s">
        <v>145</v>
      </c>
      <c r="H17" s="144" t="s">
        <v>146</v>
      </c>
      <c r="I17" s="145"/>
      <c r="J17" s="144" t="s">
        <v>231</v>
      </c>
      <c r="K17" s="144" t="s">
        <v>232</v>
      </c>
      <c r="L17" s="144" t="s">
        <v>233</v>
      </c>
      <c r="M17" s="144" t="s">
        <v>234</v>
      </c>
      <c r="N17" s="146"/>
      <c r="O17" s="146" t="s">
        <v>147</v>
      </c>
    </row>
    <row r="18" spans="1:15" ht="15" customHeight="1" x14ac:dyDescent="0.3">
      <c r="A18" s="106"/>
      <c r="B18" s="154" t="s">
        <v>89</v>
      </c>
      <c r="C18" s="138" t="s">
        <v>148</v>
      </c>
      <c r="D18" s="139">
        <v>27705</v>
      </c>
      <c r="E18" s="139">
        <v>30758</v>
      </c>
      <c r="F18" s="139">
        <v>15540</v>
      </c>
      <c r="G18" s="139">
        <v>25111</v>
      </c>
      <c r="H18" s="139">
        <v>37378</v>
      </c>
      <c r="I18" s="138"/>
      <c r="J18" s="139">
        <v>13643</v>
      </c>
      <c r="K18" s="139">
        <v>23860</v>
      </c>
      <c r="L18" s="139">
        <v>41456</v>
      </c>
      <c r="M18" s="139">
        <v>78959</v>
      </c>
      <c r="N18" s="106"/>
      <c r="O18" s="113"/>
    </row>
    <row r="19" spans="1:15" ht="15" customHeight="1" x14ac:dyDescent="0.3">
      <c r="A19" s="106"/>
      <c r="B19" s="156" t="s">
        <v>149</v>
      </c>
      <c r="C19" s="118" t="s">
        <v>148</v>
      </c>
      <c r="D19" s="119">
        <v>17282</v>
      </c>
      <c r="E19" s="186">
        <v>16860</v>
      </c>
      <c r="F19" s="186">
        <v>16956</v>
      </c>
      <c r="G19" s="186">
        <v>19498</v>
      </c>
      <c r="H19" s="186">
        <v>22505</v>
      </c>
      <c r="I19" s="186"/>
      <c r="J19" s="186">
        <v>5997</v>
      </c>
      <c r="K19" s="186">
        <v>6105</v>
      </c>
      <c r="L19" s="186">
        <v>6400</v>
      </c>
      <c r="M19" s="186">
        <v>18502</v>
      </c>
      <c r="N19" s="106"/>
      <c r="O19" s="113"/>
    </row>
    <row r="20" spans="1:15" ht="15" customHeight="1" x14ac:dyDescent="0.3">
      <c r="A20" s="106"/>
      <c r="B20" s="161" t="s">
        <v>260</v>
      </c>
      <c r="C20" s="162" t="s">
        <v>148</v>
      </c>
      <c r="D20" s="163">
        <f>D18-D19</f>
        <v>10423</v>
      </c>
      <c r="E20" s="163">
        <f>E18-E19</f>
        <v>13898</v>
      </c>
      <c r="F20" s="163">
        <f t="shared" ref="F20:M20" si="0">F18-F19</f>
        <v>-1416</v>
      </c>
      <c r="G20" s="163">
        <f t="shared" si="0"/>
        <v>5613</v>
      </c>
      <c r="H20" s="163">
        <f t="shared" si="0"/>
        <v>14873</v>
      </c>
      <c r="I20" s="163"/>
      <c r="J20" s="163">
        <f t="shared" si="0"/>
        <v>7646</v>
      </c>
      <c r="K20" s="163">
        <f t="shared" si="0"/>
        <v>17755</v>
      </c>
      <c r="L20" s="163">
        <f t="shared" si="0"/>
        <v>35056</v>
      </c>
      <c r="M20" s="163">
        <f t="shared" si="0"/>
        <v>60457</v>
      </c>
      <c r="N20" s="106"/>
      <c r="O20" s="113"/>
    </row>
    <row r="21" spans="1:15" ht="15" customHeight="1" x14ac:dyDescent="0.3">
      <c r="A21" s="106"/>
      <c r="B21" s="168" t="s">
        <v>261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</row>
    <row r="22" spans="1:15" ht="15" customHeight="1" x14ac:dyDescent="0.3">
      <c r="A22" s="106"/>
      <c r="B22" s="166" t="s">
        <v>150</v>
      </c>
      <c r="C22" s="114" t="s">
        <v>148</v>
      </c>
      <c r="D22" s="115">
        <v>2663</v>
      </c>
      <c r="E22" s="115">
        <v>3116</v>
      </c>
      <c r="F22" s="115">
        <v>3114</v>
      </c>
      <c r="G22" s="115">
        <v>3430</v>
      </c>
      <c r="H22" s="115">
        <v>3798</v>
      </c>
      <c r="I22" s="114"/>
      <c r="J22" s="115">
        <v>1171</v>
      </c>
      <c r="K22" s="115">
        <v>1250</v>
      </c>
      <c r="L22" s="115">
        <v>1316</v>
      </c>
      <c r="M22" s="115">
        <v>3737</v>
      </c>
      <c r="N22" s="106"/>
      <c r="O22" s="113"/>
    </row>
    <row r="23" spans="1:15" ht="15" customHeight="1" x14ac:dyDescent="0.3">
      <c r="A23" s="106"/>
      <c r="B23" s="156" t="s">
        <v>262</v>
      </c>
      <c r="C23" s="118" t="s">
        <v>148</v>
      </c>
      <c r="D23" s="119">
        <v>894</v>
      </c>
      <c r="E23" s="119">
        <v>1066</v>
      </c>
      <c r="F23" s="119">
        <v>920</v>
      </c>
      <c r="G23" s="119">
        <v>1129</v>
      </c>
      <c r="H23" s="119">
        <v>1205</v>
      </c>
      <c r="I23" s="118"/>
      <c r="J23" s="119">
        <v>337</v>
      </c>
      <c r="K23" s="119">
        <v>344</v>
      </c>
      <c r="L23" s="119">
        <v>407</v>
      </c>
      <c r="M23" s="119">
        <v>1088</v>
      </c>
      <c r="N23" s="106"/>
      <c r="O23" s="113"/>
    </row>
    <row r="24" spans="1:15" ht="15" customHeight="1" x14ac:dyDescent="0.3">
      <c r="A24" s="106"/>
      <c r="B24" s="156" t="s">
        <v>263</v>
      </c>
      <c r="C24" s="118" t="s">
        <v>148</v>
      </c>
      <c r="D24" s="119">
        <v>488</v>
      </c>
      <c r="E24" s="119">
        <v>48</v>
      </c>
      <c r="F24" s="119">
        <v>171</v>
      </c>
      <c r="G24" s="119">
        <v>1</v>
      </c>
      <c r="H24" s="119">
        <v>39</v>
      </c>
      <c r="I24" s="118"/>
      <c r="J24" s="119"/>
      <c r="K24" s="119"/>
      <c r="L24" s="119"/>
      <c r="M24" s="77"/>
      <c r="N24" s="106"/>
      <c r="O24" s="113"/>
    </row>
    <row r="25" spans="1:15" ht="15" customHeight="1" x14ac:dyDescent="0.3">
      <c r="A25" s="106"/>
      <c r="B25" s="156" t="s">
        <v>264</v>
      </c>
      <c r="C25" s="118" t="s">
        <v>148</v>
      </c>
      <c r="D25" s="119">
        <v>95</v>
      </c>
      <c r="E25" s="119">
        <v>-34</v>
      </c>
      <c r="F25" s="119">
        <v>124</v>
      </c>
      <c r="G25" s="119">
        <v>-251</v>
      </c>
      <c r="H25" s="119">
        <v>61</v>
      </c>
      <c r="I25" s="118"/>
      <c r="J25" s="119">
        <v>2</v>
      </c>
      <c r="K25" s="119">
        <v>26</v>
      </c>
      <c r="L25" s="119">
        <v>15</v>
      </c>
      <c r="M25" s="119">
        <v>43</v>
      </c>
      <c r="N25" s="106"/>
      <c r="O25" s="113"/>
    </row>
    <row r="26" spans="1:15" ht="15" customHeight="1" x14ac:dyDescent="0.3">
      <c r="A26" s="106"/>
      <c r="B26" s="161" t="s">
        <v>151</v>
      </c>
      <c r="C26" s="162" t="s">
        <v>148</v>
      </c>
      <c r="D26" s="163">
        <f>D20-SUM(D22:D25)</f>
        <v>6283</v>
      </c>
      <c r="E26" s="163">
        <f t="shared" ref="E26:M26" si="1">E20-SUM(E22:E25)</f>
        <v>9702</v>
      </c>
      <c r="F26" s="163">
        <f t="shared" si="1"/>
        <v>-5745</v>
      </c>
      <c r="G26" s="163">
        <f t="shared" si="1"/>
        <v>1304</v>
      </c>
      <c r="H26" s="163">
        <f t="shared" si="1"/>
        <v>9770</v>
      </c>
      <c r="I26" s="163"/>
      <c r="J26" s="163">
        <f t="shared" si="1"/>
        <v>6136</v>
      </c>
      <c r="K26" s="163">
        <f t="shared" si="1"/>
        <v>16135</v>
      </c>
      <c r="L26" s="163">
        <f t="shared" si="1"/>
        <v>33318</v>
      </c>
      <c r="M26" s="163">
        <f t="shared" si="1"/>
        <v>55589</v>
      </c>
      <c r="N26" s="106"/>
      <c r="O26" s="113"/>
    </row>
    <row r="27" spans="1:15" ht="15" customHeight="1" x14ac:dyDescent="0.3">
      <c r="A27" s="106"/>
      <c r="B27" s="168" t="s">
        <v>265</v>
      </c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</row>
    <row r="28" spans="1:15" ht="15" customHeight="1" x14ac:dyDescent="0.3">
      <c r="A28" s="106"/>
      <c r="B28" s="166" t="s">
        <v>152</v>
      </c>
      <c r="C28" s="114" t="s">
        <v>148</v>
      </c>
      <c r="D28" s="115">
        <v>37</v>
      </c>
      <c r="E28" s="115">
        <v>96</v>
      </c>
      <c r="F28" s="115">
        <v>468</v>
      </c>
      <c r="G28" s="115">
        <v>529</v>
      </c>
      <c r="H28" s="115">
        <v>496</v>
      </c>
      <c r="I28" s="114"/>
      <c r="J28" s="115">
        <v>139</v>
      </c>
      <c r="K28" s="115">
        <v>155</v>
      </c>
      <c r="L28" s="115">
        <v>215</v>
      </c>
      <c r="M28" s="115">
        <v>509</v>
      </c>
      <c r="N28" s="106"/>
      <c r="O28" s="113"/>
    </row>
    <row r="29" spans="1:15" ht="15" customHeight="1" x14ac:dyDescent="0.3">
      <c r="A29" s="106"/>
      <c r="B29" s="156" t="s">
        <v>153</v>
      </c>
      <c r="C29" s="118" t="s">
        <v>148</v>
      </c>
      <c r="D29" s="119">
        <v>-183</v>
      </c>
      <c r="E29" s="119">
        <v>-189</v>
      </c>
      <c r="F29" s="119">
        <v>-388</v>
      </c>
      <c r="G29" s="119">
        <v>-562</v>
      </c>
      <c r="H29" s="119">
        <v>-477</v>
      </c>
      <c r="I29" s="118"/>
      <c r="J29" s="119">
        <v>-74</v>
      </c>
      <c r="K29" s="119">
        <v>-32</v>
      </c>
      <c r="L29" s="119">
        <v>0</v>
      </c>
      <c r="M29" s="119">
        <v>-106</v>
      </c>
      <c r="N29" s="106"/>
      <c r="O29" s="113"/>
    </row>
    <row r="30" spans="1:15" ht="15" customHeight="1" x14ac:dyDescent="0.3">
      <c r="A30" s="106"/>
      <c r="B30" s="156" t="s">
        <v>266</v>
      </c>
      <c r="C30" s="118" t="s">
        <v>148</v>
      </c>
      <c r="D30" s="119">
        <v>81</v>
      </c>
      <c r="E30" s="119">
        <v>-38</v>
      </c>
      <c r="F30" s="119">
        <v>7</v>
      </c>
      <c r="G30" s="119">
        <v>-31</v>
      </c>
      <c r="H30" s="119">
        <v>-135</v>
      </c>
      <c r="I30" s="118"/>
      <c r="J30" s="119">
        <v>-140</v>
      </c>
      <c r="K30" s="119">
        <v>-98</v>
      </c>
      <c r="L30" s="119">
        <v>-321</v>
      </c>
      <c r="M30" s="119">
        <v>-559</v>
      </c>
      <c r="N30" s="106"/>
      <c r="O30" s="113"/>
    </row>
    <row r="31" spans="1:15" ht="15" customHeight="1" x14ac:dyDescent="0.3">
      <c r="A31" s="106"/>
      <c r="B31" s="160" t="s">
        <v>267</v>
      </c>
      <c r="C31" s="157" t="s">
        <v>148</v>
      </c>
      <c r="D31" s="158">
        <f>D26+D28+D29+D30</f>
        <v>6218</v>
      </c>
      <c r="E31" s="158">
        <f t="shared" ref="E31:M31" si="2">E26+E28+E29+E30</f>
        <v>9571</v>
      </c>
      <c r="F31" s="158">
        <f t="shared" si="2"/>
        <v>-5658</v>
      </c>
      <c r="G31" s="158">
        <f t="shared" si="2"/>
        <v>1240</v>
      </c>
      <c r="H31" s="158">
        <f t="shared" si="2"/>
        <v>9654</v>
      </c>
      <c r="I31" s="158"/>
      <c r="J31" s="158">
        <f t="shared" si="2"/>
        <v>6061</v>
      </c>
      <c r="K31" s="158">
        <f t="shared" si="2"/>
        <v>16160</v>
      </c>
      <c r="L31" s="158">
        <f t="shared" si="2"/>
        <v>33212</v>
      </c>
      <c r="M31" s="158">
        <f t="shared" si="2"/>
        <v>55433</v>
      </c>
      <c r="N31" s="158"/>
      <c r="O31" s="113"/>
    </row>
    <row r="32" spans="1:15" ht="15" customHeight="1" x14ac:dyDescent="0.3">
      <c r="A32" s="106"/>
      <c r="B32" s="156" t="s">
        <v>268</v>
      </c>
      <c r="C32" s="118" t="s">
        <v>148</v>
      </c>
      <c r="D32" s="119">
        <v>-394</v>
      </c>
      <c r="E32" s="119">
        <v>-888</v>
      </c>
      <c r="F32" s="119">
        <v>-177</v>
      </c>
      <c r="G32" s="119">
        <v>-451</v>
      </c>
      <c r="H32" s="119">
        <v>-1124</v>
      </c>
      <c r="I32" s="118"/>
      <c r="J32" s="119">
        <v>-829</v>
      </c>
      <c r="K32" s="119">
        <v>-2371</v>
      </c>
      <c r="L32" s="119">
        <v>-4978</v>
      </c>
      <c r="M32" s="119">
        <v>-8178</v>
      </c>
      <c r="N32" s="106"/>
      <c r="O32" s="113"/>
    </row>
    <row r="33" spans="1:15" ht="15" customHeight="1" x14ac:dyDescent="0.3">
      <c r="A33" s="106"/>
      <c r="B33" s="156" t="s">
        <v>269</v>
      </c>
      <c r="C33" s="118" t="s">
        <v>148</v>
      </c>
      <c r="D33" s="119">
        <v>37</v>
      </c>
      <c r="E33" s="119">
        <v>4</v>
      </c>
      <c r="F33" s="119">
        <v>2</v>
      </c>
      <c r="G33" s="119">
        <v>-11</v>
      </c>
      <c r="H33" s="119">
        <v>9</v>
      </c>
      <c r="I33" s="118"/>
      <c r="J33" s="119">
        <v>8</v>
      </c>
      <c r="K33" s="119">
        <v>-4</v>
      </c>
      <c r="L33" s="119">
        <v>9</v>
      </c>
      <c r="M33" s="119">
        <v>13</v>
      </c>
      <c r="N33" s="106"/>
      <c r="O33" s="113"/>
    </row>
    <row r="34" spans="1:15" ht="15" customHeight="1" x14ac:dyDescent="0.3">
      <c r="A34" s="106"/>
      <c r="B34" s="160" t="s">
        <v>95</v>
      </c>
      <c r="C34" s="157" t="s">
        <v>148</v>
      </c>
      <c r="D34" s="158">
        <f>D31+D32+D33</f>
        <v>5861</v>
      </c>
      <c r="E34" s="158">
        <f t="shared" ref="E34:M34" si="3">E31+E32+E33</f>
        <v>8687</v>
      </c>
      <c r="F34" s="158">
        <f t="shared" si="3"/>
        <v>-5833</v>
      </c>
      <c r="G34" s="158">
        <f t="shared" si="3"/>
        <v>778</v>
      </c>
      <c r="H34" s="158">
        <f t="shared" si="3"/>
        <v>8539</v>
      </c>
      <c r="I34" s="158"/>
      <c r="J34" s="158">
        <f t="shared" si="3"/>
        <v>5240</v>
      </c>
      <c r="K34" s="158">
        <f t="shared" si="3"/>
        <v>13785</v>
      </c>
      <c r="L34" s="158">
        <f t="shared" si="3"/>
        <v>28243</v>
      </c>
      <c r="M34" s="158">
        <f t="shared" si="3"/>
        <v>47268</v>
      </c>
      <c r="N34" s="106"/>
      <c r="O34" s="113"/>
    </row>
    <row r="35" spans="1:15" ht="15" customHeight="1" x14ac:dyDescent="0.3">
      <c r="A35" s="106"/>
      <c r="B35" s="156" t="s">
        <v>270</v>
      </c>
      <c r="C35" s="118" t="s">
        <v>148</v>
      </c>
      <c r="D35" s="119"/>
      <c r="E35" s="119"/>
      <c r="F35" s="119"/>
      <c r="G35" s="119"/>
      <c r="H35" s="119"/>
      <c r="I35" s="118"/>
      <c r="J35" s="119"/>
      <c r="K35" s="119"/>
      <c r="L35" s="119"/>
      <c r="M35" s="77"/>
      <c r="N35" s="106"/>
      <c r="O35" s="113"/>
    </row>
    <row r="36" spans="1:15" ht="15" customHeight="1" x14ac:dyDescent="0.3">
      <c r="A36" s="106"/>
      <c r="B36" s="161" t="s">
        <v>154</v>
      </c>
      <c r="C36" s="162" t="s">
        <v>148</v>
      </c>
      <c r="D36" s="163">
        <f>D34+D35</f>
        <v>5861</v>
      </c>
      <c r="E36" s="163">
        <f t="shared" ref="E36:M36" si="4">E34+E35</f>
        <v>8687</v>
      </c>
      <c r="F36" s="163">
        <f t="shared" si="4"/>
        <v>-5833</v>
      </c>
      <c r="G36" s="163">
        <f t="shared" si="4"/>
        <v>778</v>
      </c>
      <c r="H36" s="163">
        <f t="shared" si="4"/>
        <v>8539</v>
      </c>
      <c r="I36" s="163"/>
      <c r="J36" s="163">
        <f t="shared" si="4"/>
        <v>5240</v>
      </c>
      <c r="K36" s="163">
        <f t="shared" si="4"/>
        <v>13785</v>
      </c>
      <c r="L36" s="163">
        <f t="shared" si="4"/>
        <v>28243</v>
      </c>
      <c r="M36" s="163">
        <f t="shared" si="4"/>
        <v>47268</v>
      </c>
      <c r="N36" s="106"/>
      <c r="O36" s="113"/>
    </row>
    <row r="37" spans="1:15" ht="15" customHeight="1" x14ac:dyDescent="0.3">
      <c r="A37" s="106"/>
      <c r="B37" s="168" t="s">
        <v>271</v>
      </c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</row>
    <row r="38" spans="1:15" ht="15" customHeight="1" x14ac:dyDescent="0.3">
      <c r="A38" s="106"/>
      <c r="B38" s="166" t="s">
        <v>272</v>
      </c>
      <c r="C38" s="114" t="s">
        <v>155</v>
      </c>
      <c r="D38" s="126">
        <v>5.23</v>
      </c>
      <c r="E38" s="126">
        <v>7.81</v>
      </c>
      <c r="F38" s="126">
        <v>-5.34</v>
      </c>
      <c r="G38" s="126">
        <v>0.7</v>
      </c>
      <c r="H38" s="126">
        <v>7.65</v>
      </c>
      <c r="I38" s="114"/>
      <c r="J38" s="126">
        <v>4.66</v>
      </c>
      <c r="K38" s="126">
        <v>12.25</v>
      </c>
      <c r="L38" s="126">
        <v>25.03</v>
      </c>
      <c r="M38" s="126">
        <v>41.97</v>
      </c>
      <c r="N38" s="106"/>
      <c r="O38" s="113"/>
    </row>
    <row r="39" spans="1:15" ht="15" customHeight="1" x14ac:dyDescent="0.3">
      <c r="A39" s="106"/>
      <c r="B39" s="155" t="s">
        <v>273</v>
      </c>
      <c r="C39" s="116" t="s">
        <v>155</v>
      </c>
      <c r="D39" s="120">
        <v>5.14</v>
      </c>
      <c r="E39" s="120">
        <v>7.75</v>
      </c>
      <c r="F39" s="120">
        <v>-5.34</v>
      </c>
      <c r="G39" s="120">
        <v>0.7</v>
      </c>
      <c r="H39" s="120">
        <v>7.59</v>
      </c>
      <c r="I39" s="116"/>
      <c r="J39" s="120">
        <v>4.5999999999999996</v>
      </c>
      <c r="K39" s="120">
        <v>12.07</v>
      </c>
      <c r="L39" s="120">
        <v>24.67</v>
      </c>
      <c r="M39" s="120">
        <v>41.4</v>
      </c>
      <c r="N39" s="106"/>
      <c r="O39" s="113"/>
    </row>
    <row r="40" spans="1:15" ht="15" customHeight="1" x14ac:dyDescent="0.3">
      <c r="A40" s="106"/>
      <c r="B40" s="168" t="s">
        <v>274</v>
      </c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</row>
    <row r="41" spans="1:15" ht="15" customHeight="1" x14ac:dyDescent="0.3">
      <c r="A41" s="106"/>
      <c r="B41" s="166" t="s">
        <v>272</v>
      </c>
      <c r="C41" s="114" t="s">
        <v>156</v>
      </c>
      <c r="D41" s="132">
        <v>1120</v>
      </c>
      <c r="E41" s="132">
        <v>1112</v>
      </c>
      <c r="F41" s="132">
        <v>1093</v>
      </c>
      <c r="G41" s="132">
        <v>1105</v>
      </c>
      <c r="H41" s="132">
        <v>1116</v>
      </c>
      <c r="I41" s="114"/>
      <c r="J41" s="132">
        <v>1125</v>
      </c>
      <c r="K41" s="132">
        <v>1126</v>
      </c>
      <c r="L41" s="132">
        <v>1128</v>
      </c>
      <c r="M41" s="132">
        <v>1126</v>
      </c>
      <c r="N41" s="106"/>
      <c r="O41" s="113"/>
    </row>
    <row r="42" spans="1:15" ht="15" customHeight="1" x14ac:dyDescent="0.3">
      <c r="A42" s="106"/>
      <c r="B42" s="155" t="s">
        <v>273</v>
      </c>
      <c r="C42" s="116" t="s">
        <v>156</v>
      </c>
      <c r="D42" s="121">
        <v>1141</v>
      </c>
      <c r="E42" s="121">
        <v>1122</v>
      </c>
      <c r="F42" s="121">
        <v>1093</v>
      </c>
      <c r="G42" s="121">
        <v>1118</v>
      </c>
      <c r="H42" s="121">
        <v>1125</v>
      </c>
      <c r="I42" s="116"/>
      <c r="J42" s="121">
        <v>1138</v>
      </c>
      <c r="K42" s="121">
        <v>1142</v>
      </c>
      <c r="L42" s="121">
        <v>1145</v>
      </c>
      <c r="M42" s="121">
        <v>1142</v>
      </c>
      <c r="N42" s="106"/>
      <c r="O42" s="113"/>
    </row>
    <row r="43" spans="1:15" ht="15" customHeight="1" x14ac:dyDescent="0.3">
      <c r="A43" s="106"/>
      <c r="B43" s="168" t="s">
        <v>275</v>
      </c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</row>
    <row r="44" spans="1:15" ht="15" customHeight="1" x14ac:dyDescent="0.3">
      <c r="A44" s="106"/>
      <c r="B44" s="165" t="s">
        <v>157</v>
      </c>
      <c r="C44" s="111" t="s">
        <v>155</v>
      </c>
      <c r="D44" s="125">
        <v>0.1</v>
      </c>
      <c r="E44" s="125">
        <v>0.315</v>
      </c>
      <c r="F44" s="125">
        <v>0.46</v>
      </c>
      <c r="G44" s="125">
        <v>0.46</v>
      </c>
      <c r="H44" s="125">
        <v>0.46</v>
      </c>
      <c r="I44" s="111"/>
      <c r="J44" s="125">
        <v>0.115</v>
      </c>
      <c r="K44" s="125">
        <v>0.115</v>
      </c>
      <c r="L44" s="125">
        <v>0.15</v>
      </c>
      <c r="M44" s="125">
        <v>0.38</v>
      </c>
      <c r="N44" s="106"/>
      <c r="O44" s="113"/>
    </row>
    <row r="45" spans="1:15" ht="15" customHeight="1" x14ac:dyDescent="0.3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</row>
    <row r="46" spans="1:15" ht="15" customHeight="1" x14ac:dyDescent="0.3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</row>
    <row r="47" spans="1:15" ht="24" customHeight="1" x14ac:dyDescent="0.3">
      <c r="A47" s="106"/>
      <c r="B47" s="151" t="s">
        <v>276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</row>
    <row r="48" spans="1:15" ht="15" customHeight="1" x14ac:dyDescent="0.3">
      <c r="A48" s="106"/>
      <c r="B48" s="146" t="s">
        <v>141</v>
      </c>
      <c r="C48" s="146" t="s">
        <v>107</v>
      </c>
      <c r="D48" s="152" t="s">
        <v>142</v>
      </c>
      <c r="E48" s="152" t="s">
        <v>143</v>
      </c>
      <c r="F48" s="152" t="s">
        <v>144</v>
      </c>
      <c r="G48" s="152" t="s">
        <v>145</v>
      </c>
      <c r="H48" s="152" t="s">
        <v>146</v>
      </c>
      <c r="I48" s="153"/>
      <c r="J48" s="152" t="s">
        <v>231</v>
      </c>
      <c r="K48" s="152" t="s">
        <v>232</v>
      </c>
      <c r="L48" s="152" t="s">
        <v>233</v>
      </c>
      <c r="M48" s="152" t="s">
        <v>235</v>
      </c>
      <c r="N48" s="146"/>
      <c r="O48" s="146" t="s">
        <v>147</v>
      </c>
    </row>
    <row r="49" spans="1:15" ht="15" customHeight="1" x14ac:dyDescent="0.3">
      <c r="A49" s="106"/>
      <c r="B49" s="168" t="s">
        <v>237</v>
      </c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</row>
    <row r="50" spans="1:15" ht="15" customHeight="1" x14ac:dyDescent="0.3">
      <c r="A50" s="106"/>
      <c r="B50" s="170" t="s">
        <v>238</v>
      </c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</row>
    <row r="51" spans="1:15" ht="15" customHeight="1" x14ac:dyDescent="0.3">
      <c r="A51" s="106"/>
      <c r="B51" s="166" t="s">
        <v>158</v>
      </c>
      <c r="C51" s="114" t="s">
        <v>148</v>
      </c>
      <c r="D51" s="115">
        <v>7763</v>
      </c>
      <c r="E51" s="115">
        <v>8262</v>
      </c>
      <c r="F51" s="115">
        <v>8577</v>
      </c>
      <c r="G51" s="115">
        <v>7041</v>
      </c>
      <c r="H51" s="115">
        <v>9642</v>
      </c>
      <c r="I51" s="114"/>
      <c r="J51" s="115"/>
      <c r="K51" s="115"/>
      <c r="L51" s="115">
        <v>24995</v>
      </c>
      <c r="M51" s="133">
        <v>24995</v>
      </c>
      <c r="N51" s="106"/>
      <c r="O51" s="113"/>
    </row>
    <row r="52" spans="1:15" ht="15" customHeight="1" x14ac:dyDescent="0.3">
      <c r="A52" s="106"/>
      <c r="B52" s="156" t="s">
        <v>159</v>
      </c>
      <c r="C52" s="118" t="s">
        <v>148</v>
      </c>
      <c r="D52" s="119">
        <v>870</v>
      </c>
      <c r="E52" s="119">
        <v>1069</v>
      </c>
      <c r="F52" s="119">
        <v>1017</v>
      </c>
      <c r="G52" s="119">
        <v>1065</v>
      </c>
      <c r="H52" s="119">
        <v>665</v>
      </c>
      <c r="I52" s="118"/>
      <c r="J52" s="119"/>
      <c r="K52" s="119"/>
      <c r="L52" s="119">
        <v>1027</v>
      </c>
      <c r="M52" s="77">
        <v>1027</v>
      </c>
      <c r="N52" s="106"/>
      <c r="O52" s="113"/>
    </row>
    <row r="53" spans="1:15" ht="15" customHeight="1" x14ac:dyDescent="0.3">
      <c r="A53" s="106"/>
      <c r="B53" s="156" t="s">
        <v>277</v>
      </c>
      <c r="C53" s="118" t="s">
        <v>148</v>
      </c>
      <c r="D53" s="119">
        <v>5311</v>
      </c>
      <c r="E53" s="119">
        <v>5130</v>
      </c>
      <c r="F53" s="119">
        <v>2443</v>
      </c>
      <c r="G53" s="119">
        <v>6615</v>
      </c>
      <c r="H53" s="119">
        <v>9265</v>
      </c>
      <c r="I53" s="118"/>
      <c r="J53" s="119"/>
      <c r="K53" s="119"/>
      <c r="L53" s="119">
        <v>31025</v>
      </c>
      <c r="M53" s="77">
        <v>31025</v>
      </c>
      <c r="N53" s="106"/>
      <c r="O53" s="113"/>
    </row>
    <row r="54" spans="1:15" ht="15" customHeight="1" x14ac:dyDescent="0.3">
      <c r="A54" s="106"/>
      <c r="B54" s="156" t="s">
        <v>160</v>
      </c>
      <c r="C54" s="118" t="s">
        <v>148</v>
      </c>
      <c r="D54" s="119">
        <v>4487</v>
      </c>
      <c r="E54" s="119">
        <v>6663</v>
      </c>
      <c r="F54" s="119">
        <v>8387</v>
      </c>
      <c r="G54" s="119">
        <v>8875</v>
      </c>
      <c r="H54" s="119">
        <v>8355</v>
      </c>
      <c r="I54" s="118"/>
      <c r="J54" s="119"/>
      <c r="K54" s="119"/>
      <c r="L54" s="119">
        <v>8567</v>
      </c>
      <c r="M54" s="77">
        <v>8567</v>
      </c>
      <c r="N54" s="106"/>
      <c r="O54" s="113"/>
    </row>
    <row r="55" spans="1:15" ht="15" customHeight="1" x14ac:dyDescent="0.3">
      <c r="A55" s="106"/>
      <c r="B55" s="156" t="s">
        <v>278</v>
      </c>
      <c r="C55" s="118" t="s">
        <v>148</v>
      </c>
      <c r="D55" s="119">
        <v>974</v>
      </c>
      <c r="E55" s="119"/>
      <c r="F55" s="119"/>
      <c r="G55" s="119"/>
      <c r="H55" s="119"/>
      <c r="I55" s="118"/>
      <c r="J55" s="119"/>
      <c r="K55" s="119"/>
      <c r="L55" s="119"/>
      <c r="M55" s="77"/>
      <c r="N55" s="106"/>
      <c r="O55" s="113"/>
    </row>
    <row r="56" spans="1:15" ht="15" customHeight="1" x14ac:dyDescent="0.3">
      <c r="A56" s="106"/>
      <c r="B56" s="156" t="s">
        <v>161</v>
      </c>
      <c r="C56" s="118" t="s">
        <v>148</v>
      </c>
      <c r="D56" s="119">
        <v>502</v>
      </c>
      <c r="E56" s="119">
        <v>657</v>
      </c>
      <c r="F56" s="119">
        <v>820</v>
      </c>
      <c r="G56" s="119">
        <v>776</v>
      </c>
      <c r="H56" s="119">
        <v>914</v>
      </c>
      <c r="I56" s="118"/>
      <c r="J56" s="119"/>
      <c r="K56" s="119"/>
      <c r="L56" s="119">
        <v>1123</v>
      </c>
      <c r="M56" s="77">
        <v>1123</v>
      </c>
      <c r="N56" s="106"/>
      <c r="O56" s="113"/>
    </row>
    <row r="57" spans="1:15" ht="15" customHeight="1" x14ac:dyDescent="0.3">
      <c r="A57" s="106"/>
      <c r="B57" s="161" t="s">
        <v>162</v>
      </c>
      <c r="C57" s="162" t="s">
        <v>148</v>
      </c>
      <c r="D57" s="163">
        <f>SUM(D51:D56)</f>
        <v>19907</v>
      </c>
      <c r="E57" s="163">
        <f t="shared" ref="E57:M57" si="5">SUM(E51:E56)</f>
        <v>21781</v>
      </c>
      <c r="F57" s="163">
        <f t="shared" si="5"/>
        <v>21244</v>
      </c>
      <c r="G57" s="163">
        <f t="shared" si="5"/>
        <v>24372</v>
      </c>
      <c r="H57" s="163">
        <f t="shared" si="5"/>
        <v>28841</v>
      </c>
      <c r="I57" s="163"/>
      <c r="J57" s="163"/>
      <c r="K57" s="163"/>
      <c r="L57" s="163">
        <f t="shared" si="5"/>
        <v>66737</v>
      </c>
      <c r="M57" s="163">
        <f t="shared" si="5"/>
        <v>66737</v>
      </c>
      <c r="N57" s="106"/>
      <c r="O57" s="113"/>
    </row>
    <row r="58" spans="1:15" ht="15" customHeight="1" x14ac:dyDescent="0.3">
      <c r="A58" s="106"/>
      <c r="B58" s="170" t="s">
        <v>279</v>
      </c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</row>
    <row r="59" spans="1:15" ht="15" customHeight="1" x14ac:dyDescent="0.3">
      <c r="A59" s="106"/>
      <c r="B59" s="166" t="s">
        <v>163</v>
      </c>
      <c r="C59" s="114" t="s">
        <v>148</v>
      </c>
      <c r="D59" s="115">
        <v>1765</v>
      </c>
      <c r="E59" s="115">
        <v>1647</v>
      </c>
      <c r="F59" s="115">
        <v>844</v>
      </c>
      <c r="G59" s="115">
        <v>1046</v>
      </c>
      <c r="H59" s="115">
        <v>1629</v>
      </c>
      <c r="I59" s="114"/>
      <c r="J59" s="115"/>
      <c r="K59" s="115"/>
      <c r="L59" s="115">
        <v>4106</v>
      </c>
      <c r="M59" s="133">
        <v>4106</v>
      </c>
      <c r="N59" s="106"/>
      <c r="O59" s="113"/>
    </row>
    <row r="60" spans="1:15" ht="15" customHeight="1" x14ac:dyDescent="0.3">
      <c r="A60" s="106"/>
      <c r="B60" s="156" t="s">
        <v>280</v>
      </c>
      <c r="C60" s="118" t="s">
        <v>148</v>
      </c>
      <c r="D60" s="119">
        <v>33213</v>
      </c>
      <c r="E60" s="119">
        <v>38549</v>
      </c>
      <c r="F60" s="119">
        <v>37928</v>
      </c>
      <c r="G60" s="119">
        <v>39749</v>
      </c>
      <c r="H60" s="119">
        <v>46590</v>
      </c>
      <c r="I60" s="118"/>
      <c r="J60" s="119"/>
      <c r="K60" s="119"/>
      <c r="L60" s="119">
        <v>56426</v>
      </c>
      <c r="M60" s="77">
        <v>56426</v>
      </c>
      <c r="N60" s="106"/>
      <c r="O60" s="113"/>
    </row>
    <row r="61" spans="1:15" ht="15" customHeight="1" x14ac:dyDescent="0.3">
      <c r="A61" s="106"/>
      <c r="B61" s="156" t="s">
        <v>164</v>
      </c>
      <c r="C61" s="118" t="s">
        <v>148</v>
      </c>
      <c r="D61" s="119">
        <v>551</v>
      </c>
      <c r="E61" s="119">
        <v>678</v>
      </c>
      <c r="F61" s="119">
        <v>666</v>
      </c>
      <c r="G61" s="119">
        <v>645</v>
      </c>
      <c r="H61" s="119">
        <v>736</v>
      </c>
      <c r="I61" s="118"/>
      <c r="J61" s="119"/>
      <c r="K61" s="119"/>
      <c r="L61" s="119">
        <v>683</v>
      </c>
      <c r="M61" s="77">
        <v>683</v>
      </c>
      <c r="N61" s="106"/>
      <c r="O61" s="113"/>
    </row>
    <row r="62" spans="1:15" ht="15" customHeight="1" x14ac:dyDescent="0.3">
      <c r="A62" s="106"/>
      <c r="B62" s="156" t="s">
        <v>281</v>
      </c>
      <c r="C62" s="118" t="s">
        <v>148</v>
      </c>
      <c r="D62" s="119">
        <v>349</v>
      </c>
      <c r="E62" s="119">
        <v>421</v>
      </c>
      <c r="F62" s="119">
        <v>404</v>
      </c>
      <c r="G62" s="119">
        <v>416</v>
      </c>
      <c r="H62" s="119">
        <v>453</v>
      </c>
      <c r="I62" s="118"/>
      <c r="J62" s="119"/>
      <c r="K62" s="119"/>
      <c r="L62" s="119">
        <v>473</v>
      </c>
      <c r="M62" s="77">
        <v>473</v>
      </c>
      <c r="N62" s="106"/>
      <c r="O62" s="113"/>
    </row>
    <row r="63" spans="1:15" ht="15" customHeight="1" x14ac:dyDescent="0.3">
      <c r="A63" s="106"/>
      <c r="B63" s="156" t="s">
        <v>166</v>
      </c>
      <c r="C63" s="118" t="s">
        <v>148</v>
      </c>
      <c r="D63" s="119">
        <v>782</v>
      </c>
      <c r="E63" s="119">
        <v>702</v>
      </c>
      <c r="F63" s="119">
        <v>756</v>
      </c>
      <c r="G63" s="119">
        <v>520</v>
      </c>
      <c r="H63" s="119">
        <v>616</v>
      </c>
      <c r="I63" s="118"/>
      <c r="J63" s="119"/>
      <c r="K63" s="119"/>
      <c r="L63" s="119">
        <v>700</v>
      </c>
      <c r="M63" s="77">
        <v>700</v>
      </c>
      <c r="N63" s="106"/>
      <c r="O63" s="113"/>
    </row>
    <row r="64" spans="1:15" ht="15" customHeight="1" x14ac:dyDescent="0.3">
      <c r="A64" s="106"/>
      <c r="B64" s="156" t="s">
        <v>165</v>
      </c>
      <c r="C64" s="118" t="s">
        <v>148</v>
      </c>
      <c r="D64" s="119">
        <v>1228</v>
      </c>
      <c r="E64" s="119">
        <v>1228</v>
      </c>
      <c r="F64" s="119">
        <v>1150</v>
      </c>
      <c r="G64" s="119">
        <v>1150</v>
      </c>
      <c r="H64" s="119">
        <v>1150</v>
      </c>
      <c r="I64" s="118"/>
      <c r="J64" s="119"/>
      <c r="K64" s="119"/>
      <c r="L64" s="119">
        <v>1150</v>
      </c>
      <c r="M64" s="77">
        <v>1150</v>
      </c>
      <c r="N64" s="106"/>
      <c r="O64" s="113"/>
    </row>
    <row r="65" spans="1:15" ht="15" customHeight="1" x14ac:dyDescent="0.3">
      <c r="A65" s="106"/>
      <c r="B65" s="156" t="s">
        <v>167</v>
      </c>
      <c r="C65" s="118" t="s">
        <v>148</v>
      </c>
      <c r="D65" s="119">
        <v>1054</v>
      </c>
      <c r="E65" s="119">
        <v>1277</v>
      </c>
      <c r="F65" s="119">
        <v>1262</v>
      </c>
      <c r="G65" s="119">
        <v>1518</v>
      </c>
      <c r="H65" s="119">
        <v>2783</v>
      </c>
      <c r="I65" s="118"/>
      <c r="J65" s="119"/>
      <c r="K65" s="119"/>
      <c r="L65" s="119">
        <v>3837</v>
      </c>
      <c r="M65" s="77">
        <v>3837</v>
      </c>
      <c r="N65" s="106"/>
      <c r="O65" s="113"/>
    </row>
    <row r="66" spans="1:15" ht="15" customHeight="1" x14ac:dyDescent="0.3">
      <c r="A66" s="106"/>
      <c r="B66" s="160" t="s">
        <v>282</v>
      </c>
      <c r="C66" s="157" t="s">
        <v>148</v>
      </c>
      <c r="D66" s="158">
        <f>SUM(D59:D65)</f>
        <v>38942</v>
      </c>
      <c r="E66" s="158">
        <f t="shared" ref="E66:M66" si="6">SUM(E59:E65)</f>
        <v>44502</v>
      </c>
      <c r="F66" s="158">
        <f t="shared" si="6"/>
        <v>43010</v>
      </c>
      <c r="G66" s="158">
        <f t="shared" si="6"/>
        <v>45044</v>
      </c>
      <c r="H66" s="158">
        <f t="shared" si="6"/>
        <v>53957</v>
      </c>
      <c r="I66" s="158"/>
      <c r="J66" s="158"/>
      <c r="K66" s="158"/>
      <c r="L66" s="158">
        <f t="shared" si="6"/>
        <v>67375</v>
      </c>
      <c r="M66" s="158">
        <f t="shared" si="6"/>
        <v>67375</v>
      </c>
      <c r="N66" s="106"/>
      <c r="O66" s="113"/>
    </row>
    <row r="67" spans="1:15" ht="15" customHeight="1" x14ac:dyDescent="0.3">
      <c r="A67" s="106"/>
      <c r="B67" s="161" t="s">
        <v>168</v>
      </c>
      <c r="C67" s="162" t="s">
        <v>148</v>
      </c>
      <c r="D67" s="163">
        <f>D57+D66</f>
        <v>58849</v>
      </c>
      <c r="E67" s="163">
        <f t="shared" ref="E67:M67" si="7">E57+E66</f>
        <v>66283</v>
      </c>
      <c r="F67" s="163">
        <f t="shared" si="7"/>
        <v>64254</v>
      </c>
      <c r="G67" s="163">
        <f t="shared" si="7"/>
        <v>69416</v>
      </c>
      <c r="H67" s="163">
        <f t="shared" si="7"/>
        <v>82798</v>
      </c>
      <c r="I67" s="163"/>
      <c r="J67" s="163"/>
      <c r="K67" s="163"/>
      <c r="L67" s="163">
        <f t="shared" si="7"/>
        <v>134112</v>
      </c>
      <c r="M67" s="163">
        <f t="shared" si="7"/>
        <v>134112</v>
      </c>
      <c r="N67" s="106"/>
      <c r="O67" s="113"/>
    </row>
    <row r="68" spans="1:15" ht="15" customHeight="1" x14ac:dyDescent="0.3">
      <c r="A68" s="106"/>
      <c r="B68" s="168" t="s">
        <v>239</v>
      </c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</row>
    <row r="69" spans="1:15" ht="15" customHeight="1" x14ac:dyDescent="0.3">
      <c r="A69" s="106"/>
      <c r="B69" s="170" t="s">
        <v>240</v>
      </c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</row>
    <row r="70" spans="1:15" ht="15" customHeight="1" x14ac:dyDescent="0.3">
      <c r="A70" s="106"/>
      <c r="B70" s="166" t="s">
        <v>169</v>
      </c>
      <c r="C70" s="114" t="s">
        <v>148</v>
      </c>
      <c r="D70" s="115">
        <v>5325</v>
      </c>
      <c r="E70" s="115">
        <v>6090</v>
      </c>
      <c r="F70" s="115">
        <v>3958</v>
      </c>
      <c r="G70" s="115">
        <v>7299</v>
      </c>
      <c r="H70" s="115">
        <v>9649</v>
      </c>
      <c r="I70" s="114"/>
      <c r="J70" s="115"/>
      <c r="K70" s="115"/>
      <c r="L70" s="115">
        <v>15521</v>
      </c>
      <c r="M70" s="133">
        <v>15521</v>
      </c>
      <c r="N70" s="106"/>
      <c r="O70" s="113"/>
    </row>
    <row r="71" spans="1:15" ht="15" customHeight="1" x14ac:dyDescent="0.3">
      <c r="A71" s="106"/>
      <c r="B71" s="156" t="s">
        <v>170</v>
      </c>
      <c r="C71" s="118" t="s">
        <v>148</v>
      </c>
      <c r="D71" s="119">
        <v>155</v>
      </c>
      <c r="E71" s="119">
        <v>103</v>
      </c>
      <c r="F71" s="119">
        <v>278</v>
      </c>
      <c r="G71" s="119">
        <v>431</v>
      </c>
      <c r="H71" s="119">
        <v>560</v>
      </c>
      <c r="I71" s="118"/>
      <c r="J71" s="119"/>
      <c r="K71" s="119"/>
      <c r="L71" s="119">
        <v>582</v>
      </c>
      <c r="M71" s="77">
        <v>582</v>
      </c>
      <c r="N71" s="106"/>
      <c r="O71" s="113"/>
    </row>
    <row r="72" spans="1:15" ht="15" customHeight="1" x14ac:dyDescent="0.3">
      <c r="A72" s="106"/>
      <c r="B72" s="156" t="s">
        <v>171</v>
      </c>
      <c r="C72" s="118" t="s">
        <v>148</v>
      </c>
      <c r="D72" s="119">
        <v>944</v>
      </c>
      <c r="E72" s="119">
        <v>1346</v>
      </c>
      <c r="F72" s="119">
        <v>529</v>
      </c>
      <c r="G72" s="119">
        <v>1518</v>
      </c>
      <c r="H72" s="119">
        <v>1245</v>
      </c>
      <c r="I72" s="118"/>
      <c r="J72" s="119"/>
      <c r="K72" s="119"/>
      <c r="L72" s="119">
        <v>3385</v>
      </c>
      <c r="M72" s="77">
        <v>3385</v>
      </c>
      <c r="N72" s="106"/>
      <c r="O72" s="113"/>
    </row>
    <row r="73" spans="1:15" ht="15" customHeight="1" x14ac:dyDescent="0.3">
      <c r="A73" s="106"/>
      <c r="B73" s="161" t="s">
        <v>172</v>
      </c>
      <c r="C73" s="162" t="s">
        <v>148</v>
      </c>
      <c r="D73" s="163">
        <f>SUM(D70:D72)</f>
        <v>6424</v>
      </c>
      <c r="E73" s="163">
        <f t="shared" ref="E73:M73" si="8">SUM(E70:E72)</f>
        <v>7539</v>
      </c>
      <c r="F73" s="163">
        <f t="shared" si="8"/>
        <v>4765</v>
      </c>
      <c r="G73" s="163">
        <f t="shared" si="8"/>
        <v>9248</v>
      </c>
      <c r="H73" s="163">
        <f t="shared" si="8"/>
        <v>11454</v>
      </c>
      <c r="I73" s="163"/>
      <c r="J73" s="163"/>
      <c r="K73" s="163"/>
      <c r="L73" s="163">
        <f t="shared" si="8"/>
        <v>19488</v>
      </c>
      <c r="M73" s="163">
        <f t="shared" si="8"/>
        <v>19488</v>
      </c>
      <c r="N73" s="106"/>
      <c r="O73" s="113"/>
    </row>
    <row r="74" spans="1:15" ht="15" customHeight="1" x14ac:dyDescent="0.3">
      <c r="A74" s="106"/>
      <c r="B74" s="170" t="s">
        <v>283</v>
      </c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</row>
    <row r="75" spans="1:15" ht="15" customHeight="1" x14ac:dyDescent="0.3">
      <c r="A75" s="106"/>
      <c r="B75" s="166" t="s">
        <v>173</v>
      </c>
      <c r="C75" s="114" t="s">
        <v>148</v>
      </c>
      <c r="D75" s="115">
        <v>6621</v>
      </c>
      <c r="E75" s="115">
        <v>6803</v>
      </c>
      <c r="F75" s="115">
        <v>13052</v>
      </c>
      <c r="G75" s="115">
        <v>12966</v>
      </c>
      <c r="H75" s="115">
        <v>14017</v>
      </c>
      <c r="I75" s="114"/>
      <c r="J75" s="115"/>
      <c r="K75" s="115"/>
      <c r="L75" s="115">
        <v>5140</v>
      </c>
      <c r="M75" s="133">
        <v>5140</v>
      </c>
      <c r="N75" s="106"/>
      <c r="O75" s="113"/>
    </row>
    <row r="76" spans="1:15" ht="15" customHeight="1" x14ac:dyDescent="0.3">
      <c r="A76" s="106"/>
      <c r="B76" s="156" t="s">
        <v>174</v>
      </c>
      <c r="C76" s="118" t="s">
        <v>148</v>
      </c>
      <c r="D76" s="119">
        <v>504</v>
      </c>
      <c r="E76" s="119">
        <v>610</v>
      </c>
      <c r="F76" s="119">
        <v>603</v>
      </c>
      <c r="G76" s="119">
        <v>610</v>
      </c>
      <c r="H76" s="119">
        <v>701</v>
      </c>
      <c r="I76" s="118"/>
      <c r="J76" s="119"/>
      <c r="K76" s="119"/>
      <c r="L76" s="119">
        <v>654</v>
      </c>
      <c r="M76" s="77">
        <v>654</v>
      </c>
      <c r="N76" s="106"/>
      <c r="O76" s="113"/>
    </row>
    <row r="77" spans="1:15" ht="15" customHeight="1" x14ac:dyDescent="0.3">
      <c r="A77" s="106"/>
      <c r="B77" s="156" t="s">
        <v>284</v>
      </c>
      <c r="C77" s="118" t="s">
        <v>148</v>
      </c>
      <c r="D77" s="119">
        <v>808</v>
      </c>
      <c r="E77" s="119">
        <v>589</v>
      </c>
      <c r="F77" s="119">
        <v>727</v>
      </c>
      <c r="G77" s="119">
        <v>550</v>
      </c>
      <c r="H77" s="119">
        <v>1018</v>
      </c>
      <c r="I77" s="118"/>
      <c r="J77" s="119"/>
      <c r="K77" s="119"/>
      <c r="L77" s="119">
        <v>1020</v>
      </c>
      <c r="M77" s="77">
        <v>1020</v>
      </c>
      <c r="N77" s="106"/>
      <c r="O77" s="113"/>
    </row>
    <row r="78" spans="1:15" ht="15" customHeight="1" x14ac:dyDescent="0.3">
      <c r="A78" s="106"/>
      <c r="B78" s="156" t="s">
        <v>175</v>
      </c>
      <c r="C78" s="118" t="s">
        <v>148</v>
      </c>
      <c r="D78" s="119">
        <v>559</v>
      </c>
      <c r="E78" s="119">
        <v>835</v>
      </c>
      <c r="F78" s="119">
        <v>987</v>
      </c>
      <c r="G78" s="119">
        <v>911</v>
      </c>
      <c r="H78" s="119">
        <v>1443</v>
      </c>
      <c r="I78" s="118"/>
      <c r="J78" s="119"/>
      <c r="K78" s="119"/>
      <c r="L78" s="119">
        <v>7086</v>
      </c>
      <c r="M78" s="77">
        <v>7086</v>
      </c>
      <c r="N78" s="106"/>
      <c r="O78" s="113"/>
    </row>
    <row r="79" spans="1:15" ht="15" customHeight="1" x14ac:dyDescent="0.3">
      <c r="A79" s="106"/>
      <c r="B79" s="160" t="s">
        <v>285</v>
      </c>
      <c r="C79" s="157" t="s">
        <v>148</v>
      </c>
      <c r="D79" s="158">
        <f>SUM(D75:D78)</f>
        <v>8492</v>
      </c>
      <c r="E79" s="158">
        <f t="shared" ref="E79:M79" si="9">SUM(E75:E78)</f>
        <v>8837</v>
      </c>
      <c r="F79" s="158">
        <f t="shared" si="9"/>
        <v>15369</v>
      </c>
      <c r="G79" s="158">
        <f t="shared" si="9"/>
        <v>15037</v>
      </c>
      <c r="H79" s="158">
        <f t="shared" si="9"/>
        <v>17179</v>
      </c>
      <c r="I79" s="158"/>
      <c r="J79" s="158"/>
      <c r="K79" s="158"/>
      <c r="L79" s="158">
        <f t="shared" si="9"/>
        <v>13900</v>
      </c>
      <c r="M79" s="158">
        <f t="shared" si="9"/>
        <v>13900</v>
      </c>
      <c r="N79" s="106"/>
      <c r="O79" s="113"/>
    </row>
    <row r="80" spans="1:15" ht="15" customHeight="1" x14ac:dyDescent="0.3">
      <c r="A80" s="106"/>
      <c r="B80" s="161" t="s">
        <v>176</v>
      </c>
      <c r="C80" s="162" t="s">
        <v>148</v>
      </c>
      <c r="D80" s="163">
        <f>D79+D73</f>
        <v>14916</v>
      </c>
      <c r="E80" s="163">
        <f t="shared" ref="E80:M80" si="10">E79+E73</f>
        <v>16376</v>
      </c>
      <c r="F80" s="163">
        <f t="shared" si="10"/>
        <v>20134</v>
      </c>
      <c r="G80" s="163">
        <f t="shared" si="10"/>
        <v>24285</v>
      </c>
      <c r="H80" s="163">
        <f t="shared" si="10"/>
        <v>28633</v>
      </c>
      <c r="I80" s="163"/>
      <c r="J80" s="163"/>
      <c r="K80" s="163"/>
      <c r="L80" s="163">
        <f t="shared" si="10"/>
        <v>33388</v>
      </c>
      <c r="M80" s="163">
        <f t="shared" si="10"/>
        <v>33388</v>
      </c>
      <c r="N80" s="106"/>
      <c r="O80" s="113"/>
    </row>
    <row r="81" spans="1:15" ht="15" customHeight="1" x14ac:dyDescent="0.3">
      <c r="A81" s="106"/>
      <c r="B81" s="168" t="s">
        <v>286</v>
      </c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</row>
    <row r="82" spans="1:15" ht="15" customHeight="1" x14ac:dyDescent="0.3">
      <c r="A82" s="106"/>
      <c r="B82" s="166" t="s">
        <v>287</v>
      </c>
      <c r="C82" s="114" t="s">
        <v>148</v>
      </c>
      <c r="D82" s="115">
        <v>122</v>
      </c>
      <c r="E82" s="115">
        <v>123</v>
      </c>
      <c r="F82" s="115">
        <v>124</v>
      </c>
      <c r="G82" s="115">
        <v>125</v>
      </c>
      <c r="H82" s="115">
        <v>127</v>
      </c>
      <c r="I82" s="114"/>
      <c r="J82" s="115"/>
      <c r="K82" s="115"/>
      <c r="L82" s="115">
        <v>128</v>
      </c>
      <c r="M82" s="133">
        <v>128</v>
      </c>
      <c r="N82" s="106"/>
      <c r="O82" s="113"/>
    </row>
    <row r="83" spans="1:15" ht="15" customHeight="1" x14ac:dyDescent="0.3">
      <c r="A83" s="106"/>
      <c r="B83" s="156" t="s">
        <v>288</v>
      </c>
      <c r="C83" s="118" t="s">
        <v>148</v>
      </c>
      <c r="D83" s="119">
        <v>9453</v>
      </c>
      <c r="E83" s="119">
        <v>10197</v>
      </c>
      <c r="F83" s="119">
        <v>11036</v>
      </c>
      <c r="G83" s="119">
        <v>12115</v>
      </c>
      <c r="H83" s="119">
        <v>13339</v>
      </c>
      <c r="I83" s="118"/>
      <c r="J83" s="119"/>
      <c r="K83" s="119"/>
      <c r="L83" s="119">
        <v>14442</v>
      </c>
      <c r="M83" s="77">
        <v>14442</v>
      </c>
      <c r="N83" s="106"/>
      <c r="O83" s="113"/>
    </row>
    <row r="84" spans="1:15" ht="15" customHeight="1" x14ac:dyDescent="0.3">
      <c r="A84" s="106"/>
      <c r="B84" s="156" t="s">
        <v>241</v>
      </c>
      <c r="C84" s="118" t="s">
        <v>148</v>
      </c>
      <c r="D84" s="119">
        <v>39051</v>
      </c>
      <c r="E84" s="119">
        <v>47274</v>
      </c>
      <c r="F84" s="119">
        <v>40824</v>
      </c>
      <c r="G84" s="119">
        <v>40877</v>
      </c>
      <c r="H84" s="119">
        <v>48583</v>
      </c>
      <c r="I84" s="118"/>
      <c r="J84" s="119"/>
      <c r="K84" s="119"/>
      <c r="L84" s="119">
        <v>94682</v>
      </c>
      <c r="M84" s="77">
        <v>94682</v>
      </c>
      <c r="N84" s="106"/>
      <c r="O84" s="113"/>
    </row>
    <row r="85" spans="1:15" ht="15" customHeight="1" x14ac:dyDescent="0.3">
      <c r="A85" s="106"/>
      <c r="B85" s="156" t="s">
        <v>242</v>
      </c>
      <c r="C85" s="118" t="s">
        <v>148</v>
      </c>
      <c r="D85" s="177">
        <f>-4695</f>
        <v>-4695</v>
      </c>
      <c r="E85" s="119">
        <v>-7127</v>
      </c>
      <c r="F85" s="119">
        <v>-7552</v>
      </c>
      <c r="G85" s="119">
        <v>-7852</v>
      </c>
      <c r="H85" s="119">
        <v>-7852</v>
      </c>
      <c r="I85" s="118"/>
      <c r="J85" s="119"/>
      <c r="K85" s="119"/>
      <c r="L85" s="119">
        <v>-8502</v>
      </c>
      <c r="M85" s="77">
        <v>-8502</v>
      </c>
      <c r="N85" s="106"/>
      <c r="O85" s="113"/>
    </row>
    <row r="86" spans="1:15" ht="15" customHeight="1" x14ac:dyDescent="0.3">
      <c r="A86" s="106"/>
      <c r="B86" s="156" t="s">
        <v>289</v>
      </c>
      <c r="C86" s="118" t="s">
        <v>148</v>
      </c>
      <c r="D86" s="119">
        <v>2</v>
      </c>
      <c r="E86" s="119">
        <v>-560</v>
      </c>
      <c r="F86" s="119">
        <v>-312</v>
      </c>
      <c r="G86" s="119">
        <v>-134</v>
      </c>
      <c r="H86" s="119">
        <v>-32</v>
      </c>
      <c r="I86" s="118"/>
      <c r="J86" s="119"/>
      <c r="K86" s="119"/>
      <c r="L86" s="119">
        <v>-26</v>
      </c>
      <c r="M86" s="77">
        <v>-26</v>
      </c>
      <c r="N86" s="106"/>
      <c r="O86" s="113"/>
    </row>
    <row r="87" spans="1:15" ht="15" customHeight="1" x14ac:dyDescent="0.3">
      <c r="A87" s="106"/>
      <c r="B87" s="160" t="s">
        <v>243</v>
      </c>
      <c r="C87" s="157" t="s">
        <v>148</v>
      </c>
      <c r="D87" s="158">
        <f>SUM(D82:D86)</f>
        <v>43933</v>
      </c>
      <c r="E87" s="158">
        <f t="shared" ref="E87:M87" si="11">SUM(E82:E86)</f>
        <v>49907</v>
      </c>
      <c r="F87" s="158">
        <f t="shared" si="11"/>
        <v>44120</v>
      </c>
      <c r="G87" s="158">
        <f t="shared" si="11"/>
        <v>45131</v>
      </c>
      <c r="H87" s="158">
        <f t="shared" si="11"/>
        <v>54165</v>
      </c>
      <c r="I87" s="158"/>
      <c r="J87" s="158"/>
      <c r="K87" s="158"/>
      <c r="L87" s="158">
        <f t="shared" si="11"/>
        <v>100724</v>
      </c>
      <c r="M87" s="158">
        <f t="shared" si="11"/>
        <v>100724</v>
      </c>
      <c r="N87" s="106"/>
      <c r="O87" s="113"/>
    </row>
    <row r="88" spans="1:15" ht="15" customHeight="1" x14ac:dyDescent="0.3">
      <c r="A88" s="106"/>
      <c r="B88" s="156" t="s">
        <v>290</v>
      </c>
      <c r="C88" s="118" t="s">
        <v>148</v>
      </c>
      <c r="D88" s="119"/>
      <c r="E88" s="119"/>
      <c r="F88" s="119"/>
      <c r="G88" s="119"/>
      <c r="H88" s="119"/>
      <c r="I88" s="118"/>
      <c r="J88" s="119"/>
      <c r="K88" s="119"/>
      <c r="L88" s="119"/>
      <c r="M88" s="77"/>
      <c r="N88" s="106"/>
      <c r="O88" s="113"/>
    </row>
    <row r="89" spans="1:15" ht="15" customHeight="1" x14ac:dyDescent="0.3">
      <c r="A89" s="106"/>
      <c r="B89" s="160" t="s">
        <v>291</v>
      </c>
      <c r="C89" s="157" t="s">
        <v>148</v>
      </c>
      <c r="D89" s="158">
        <f>D87+D88</f>
        <v>43933</v>
      </c>
      <c r="E89" s="158">
        <f t="shared" ref="E89:M89" si="12">E87+E88</f>
        <v>49907</v>
      </c>
      <c r="F89" s="158">
        <f t="shared" si="12"/>
        <v>44120</v>
      </c>
      <c r="G89" s="158">
        <f t="shared" si="12"/>
        <v>45131</v>
      </c>
      <c r="H89" s="158">
        <f t="shared" si="12"/>
        <v>54165</v>
      </c>
      <c r="I89" s="158"/>
      <c r="J89" s="158"/>
      <c r="K89" s="158"/>
      <c r="L89" s="158">
        <f t="shared" si="12"/>
        <v>100724</v>
      </c>
      <c r="M89" s="158">
        <f t="shared" si="12"/>
        <v>100724</v>
      </c>
      <c r="N89" s="106"/>
      <c r="O89" s="113"/>
    </row>
    <row r="90" spans="1:15" ht="15" customHeight="1" x14ac:dyDescent="0.3">
      <c r="A90" s="106"/>
      <c r="B90" s="161" t="s">
        <v>177</v>
      </c>
      <c r="C90" s="162" t="s">
        <v>148</v>
      </c>
      <c r="D90" s="163">
        <f>D89+D80</f>
        <v>58849</v>
      </c>
      <c r="E90" s="163">
        <f t="shared" ref="E90:M90" si="13">E89+E80</f>
        <v>66283</v>
      </c>
      <c r="F90" s="163">
        <f t="shared" si="13"/>
        <v>64254</v>
      </c>
      <c r="G90" s="163">
        <f t="shared" si="13"/>
        <v>69416</v>
      </c>
      <c r="H90" s="163">
        <f t="shared" si="13"/>
        <v>82798</v>
      </c>
      <c r="I90" s="163"/>
      <c r="J90" s="163"/>
      <c r="K90" s="163"/>
      <c r="L90" s="163">
        <f t="shared" si="13"/>
        <v>134112</v>
      </c>
      <c r="M90" s="163">
        <f t="shared" si="13"/>
        <v>134112</v>
      </c>
      <c r="N90" s="106"/>
      <c r="O90" s="113"/>
    </row>
    <row r="91" spans="1:15" ht="15" customHeight="1" x14ac:dyDescent="0.3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 spans="1:15" ht="15" customHeight="1" x14ac:dyDescent="0.3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 spans="1:15" ht="24" customHeight="1" x14ac:dyDescent="0.3">
      <c r="A93" s="106"/>
      <c r="B93" s="151" t="s">
        <v>292</v>
      </c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</row>
    <row r="94" spans="1:15" ht="15" customHeight="1" x14ac:dyDescent="0.3">
      <c r="A94" s="106"/>
      <c r="B94" s="146" t="s">
        <v>141</v>
      </c>
      <c r="C94" s="146" t="s">
        <v>107</v>
      </c>
      <c r="D94" s="152" t="s">
        <v>142</v>
      </c>
      <c r="E94" s="152" t="s">
        <v>143</v>
      </c>
      <c r="F94" s="152" t="s">
        <v>144</v>
      </c>
      <c r="G94" s="152" t="s">
        <v>145</v>
      </c>
      <c r="H94" s="152" t="s">
        <v>146</v>
      </c>
      <c r="I94" s="153"/>
      <c r="J94" s="152" t="s">
        <v>231</v>
      </c>
      <c r="K94" s="152" t="s">
        <v>232</v>
      </c>
      <c r="L94" s="152" t="s">
        <v>233</v>
      </c>
      <c r="M94" s="152" t="s">
        <v>234</v>
      </c>
      <c r="N94" s="146"/>
      <c r="O94" s="146" t="s">
        <v>147</v>
      </c>
    </row>
    <row r="95" spans="1:15" ht="15" customHeight="1" x14ac:dyDescent="0.3">
      <c r="A95" s="106"/>
      <c r="B95" s="168" t="s">
        <v>293</v>
      </c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</row>
    <row r="96" spans="1:15" ht="15" customHeight="1" x14ac:dyDescent="0.3">
      <c r="A96" s="106"/>
      <c r="B96" s="165" t="s">
        <v>95</v>
      </c>
      <c r="C96" s="111" t="s">
        <v>148</v>
      </c>
      <c r="D96" s="112">
        <v>5861</v>
      </c>
      <c r="E96" s="112">
        <v>8687</v>
      </c>
      <c r="F96" s="112">
        <v>-5833</v>
      </c>
      <c r="G96" s="112">
        <v>778</v>
      </c>
      <c r="H96" s="112">
        <v>8539</v>
      </c>
      <c r="I96" s="111"/>
      <c r="J96" s="112"/>
      <c r="K96" s="112"/>
      <c r="L96" s="112"/>
      <c r="M96" s="89">
        <v>47268</v>
      </c>
      <c r="N96" s="106"/>
      <c r="O96" s="113"/>
    </row>
    <row r="97" spans="1:15" ht="15" customHeight="1" x14ac:dyDescent="0.3">
      <c r="A97" s="106"/>
      <c r="B97" s="170" t="s">
        <v>294</v>
      </c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</row>
    <row r="98" spans="1:15" ht="15" customHeight="1" x14ac:dyDescent="0.3">
      <c r="A98" s="106"/>
      <c r="B98" s="166" t="s">
        <v>295</v>
      </c>
      <c r="C98" s="114" t="s">
        <v>148</v>
      </c>
      <c r="D98" s="115">
        <v>6214</v>
      </c>
      <c r="E98" s="115">
        <v>7116</v>
      </c>
      <c r="F98" s="115">
        <v>7756</v>
      </c>
      <c r="G98" s="115">
        <v>7780</v>
      </c>
      <c r="H98" s="115">
        <v>8352</v>
      </c>
      <c r="I98" s="114"/>
      <c r="J98" s="115"/>
      <c r="K98" s="115"/>
      <c r="L98" s="115"/>
      <c r="M98" s="133">
        <v>6862</v>
      </c>
      <c r="N98" s="106"/>
      <c r="O98" s="113"/>
    </row>
    <row r="99" spans="1:15" ht="15" customHeight="1" x14ac:dyDescent="0.3">
      <c r="A99" s="106"/>
      <c r="B99" s="156" t="s">
        <v>296</v>
      </c>
      <c r="C99" s="118" t="s">
        <v>148</v>
      </c>
      <c r="D99" s="119">
        <v>30</v>
      </c>
      <c r="E99" s="119"/>
      <c r="F99" s="119"/>
      <c r="G99" s="119"/>
      <c r="H99" s="119"/>
      <c r="I99" s="118"/>
      <c r="J99" s="119"/>
      <c r="K99" s="119"/>
      <c r="L99" s="119"/>
      <c r="M99" s="77"/>
      <c r="N99" s="106"/>
      <c r="O99" s="113"/>
    </row>
    <row r="100" spans="1:15" ht="15" customHeight="1" x14ac:dyDescent="0.3">
      <c r="A100" s="106"/>
      <c r="B100" s="156" t="s">
        <v>263</v>
      </c>
      <c r="C100" s="118" t="s">
        <v>148</v>
      </c>
      <c r="D100" s="119">
        <v>454</v>
      </c>
      <c r="E100" s="119"/>
      <c r="F100" s="119"/>
      <c r="G100" s="119"/>
      <c r="H100" s="119"/>
      <c r="I100" s="118"/>
      <c r="J100" s="119"/>
      <c r="K100" s="119"/>
      <c r="L100" s="119"/>
      <c r="M100" s="77"/>
      <c r="N100" s="106"/>
      <c r="O100" s="113"/>
    </row>
    <row r="101" spans="1:15" ht="15" customHeight="1" x14ac:dyDescent="0.3">
      <c r="A101" s="106"/>
      <c r="B101" s="156" t="s">
        <v>178</v>
      </c>
      <c r="C101" s="118" t="s">
        <v>148</v>
      </c>
      <c r="D101" s="119">
        <v>378</v>
      </c>
      <c r="E101" s="119">
        <v>514</v>
      </c>
      <c r="F101" s="119">
        <v>596</v>
      </c>
      <c r="G101" s="119">
        <v>833</v>
      </c>
      <c r="H101" s="119">
        <v>972</v>
      </c>
      <c r="I101" s="118"/>
      <c r="J101" s="119"/>
      <c r="K101" s="119"/>
      <c r="L101" s="119"/>
      <c r="M101" s="77">
        <v>954</v>
      </c>
      <c r="N101" s="106"/>
      <c r="O101" s="113"/>
    </row>
    <row r="102" spans="1:15" s="6" customFormat="1" ht="15" customHeight="1" x14ac:dyDescent="0.3">
      <c r="A102" s="106"/>
      <c r="B102" s="166" t="s">
        <v>334</v>
      </c>
      <c r="C102" s="118" t="s">
        <v>148</v>
      </c>
      <c r="D102" s="115">
        <v>0</v>
      </c>
      <c r="E102" s="115"/>
      <c r="F102" s="115">
        <v>1831</v>
      </c>
      <c r="G102" s="115"/>
      <c r="H102" s="115"/>
      <c r="I102" s="114"/>
      <c r="J102" s="115"/>
      <c r="K102" s="115"/>
      <c r="L102" s="115"/>
      <c r="M102" s="133"/>
      <c r="N102" s="106"/>
      <c r="O102" s="113"/>
    </row>
    <row r="103" spans="1:15" s="6" customFormat="1" ht="15" customHeight="1" x14ac:dyDescent="0.3">
      <c r="A103" s="106"/>
      <c r="B103" s="166" t="s">
        <v>330</v>
      </c>
      <c r="C103" s="118" t="s">
        <v>148</v>
      </c>
      <c r="D103" s="115">
        <v>0</v>
      </c>
      <c r="E103" s="115"/>
      <c r="F103" s="115">
        <v>101</v>
      </c>
      <c r="G103" s="115"/>
      <c r="H103" s="115"/>
      <c r="I103" s="114"/>
      <c r="J103" s="115"/>
      <c r="K103" s="115"/>
      <c r="L103" s="115"/>
      <c r="M103" s="133"/>
      <c r="N103" s="106"/>
      <c r="O103" s="113"/>
    </row>
    <row r="104" spans="1:15" ht="15" customHeight="1" x14ac:dyDescent="0.3">
      <c r="A104" s="106"/>
      <c r="B104" s="156" t="s">
        <v>297</v>
      </c>
      <c r="C104" s="118" t="s">
        <v>148</v>
      </c>
      <c r="D104" s="119">
        <v>1</v>
      </c>
      <c r="E104" s="119"/>
      <c r="F104" s="119"/>
      <c r="G104" s="119"/>
      <c r="H104" s="119"/>
      <c r="I104" s="118"/>
      <c r="J104" s="119"/>
      <c r="K104" s="119"/>
      <c r="L104" s="119"/>
      <c r="M104" s="77"/>
      <c r="N104" s="106"/>
      <c r="O104" s="113"/>
    </row>
    <row r="105" spans="1:15" ht="15" customHeight="1" x14ac:dyDescent="0.3">
      <c r="A105" s="106"/>
      <c r="B105" s="170" t="s">
        <v>299</v>
      </c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</row>
    <row r="106" spans="1:15" ht="15" customHeight="1" x14ac:dyDescent="0.3">
      <c r="A106" s="106"/>
      <c r="B106" s="166" t="s">
        <v>277</v>
      </c>
      <c r="C106" s="114" t="s">
        <v>148</v>
      </c>
      <c r="D106" s="115">
        <v>-1446</v>
      </c>
      <c r="E106" s="115">
        <v>190</v>
      </c>
      <c r="F106" s="115">
        <v>2763</v>
      </c>
      <c r="G106" s="115">
        <v>-3581</v>
      </c>
      <c r="H106" s="115">
        <v>-1776</v>
      </c>
      <c r="I106" s="114"/>
      <c r="J106" s="115"/>
      <c r="K106" s="115"/>
      <c r="L106" s="115"/>
      <c r="M106" s="133">
        <v>-19953</v>
      </c>
      <c r="N106" s="106"/>
      <c r="O106" s="113"/>
    </row>
    <row r="107" spans="1:15" ht="15" customHeight="1" x14ac:dyDescent="0.3">
      <c r="A107" s="106"/>
      <c r="B107" s="156" t="s">
        <v>160</v>
      </c>
      <c r="C107" s="118" t="s">
        <v>148</v>
      </c>
      <c r="D107" s="119">
        <v>866</v>
      </c>
      <c r="E107" s="119">
        <v>-2179</v>
      </c>
      <c r="F107" s="119">
        <v>-3555</v>
      </c>
      <c r="G107" s="119">
        <v>-488</v>
      </c>
      <c r="H107" s="119">
        <v>520</v>
      </c>
      <c r="I107" s="118"/>
      <c r="J107" s="119"/>
      <c r="K107" s="119"/>
      <c r="L107" s="119"/>
      <c r="M107" s="77">
        <v>-212</v>
      </c>
      <c r="N107" s="106"/>
      <c r="O107" s="113"/>
    </row>
    <row r="108" spans="1:15" ht="15" customHeight="1" x14ac:dyDescent="0.3">
      <c r="A108" s="106"/>
      <c r="B108" s="155" t="s">
        <v>298</v>
      </c>
      <c r="C108" s="116" t="s">
        <v>148</v>
      </c>
      <c r="D108" s="117">
        <v>-50</v>
      </c>
      <c r="E108" s="117"/>
      <c r="F108" s="117"/>
      <c r="G108" s="117"/>
      <c r="H108" s="117"/>
      <c r="I108" s="116"/>
      <c r="J108" s="117"/>
      <c r="K108" s="117"/>
      <c r="L108" s="117"/>
      <c r="M108" s="56"/>
      <c r="N108" s="106"/>
      <c r="O108" s="113"/>
    </row>
    <row r="109" spans="1:15" ht="15" customHeight="1" x14ac:dyDescent="0.3">
      <c r="A109" s="106"/>
      <c r="B109" s="156" t="s">
        <v>169</v>
      </c>
      <c r="C109" s="118" t="s">
        <v>148</v>
      </c>
      <c r="D109" s="117">
        <v>210</v>
      </c>
      <c r="E109" s="119">
        <v>334</v>
      </c>
      <c r="F109" s="119">
        <v>-1302</v>
      </c>
      <c r="G109" s="119">
        <v>1915</v>
      </c>
      <c r="H109" s="119">
        <v>862</v>
      </c>
      <c r="I109" s="118"/>
      <c r="J109" s="119"/>
      <c r="K109" s="119"/>
      <c r="L109" s="119"/>
      <c r="M109" s="77">
        <v>3329</v>
      </c>
      <c r="N109" s="106"/>
      <c r="O109" s="113"/>
    </row>
    <row r="110" spans="1:15" s="6" customFormat="1" ht="15" customHeight="1" x14ac:dyDescent="0.3">
      <c r="A110" s="106"/>
      <c r="B110" s="156" t="s">
        <v>171</v>
      </c>
      <c r="C110" s="118" t="s">
        <v>148</v>
      </c>
      <c r="D110" s="119">
        <v>0</v>
      </c>
      <c r="E110" s="119">
        <v>400</v>
      </c>
      <c r="F110" s="119">
        <v>-817</v>
      </c>
      <c r="G110" s="119">
        <v>989</v>
      </c>
      <c r="H110" s="119">
        <v>-272</v>
      </c>
      <c r="I110" s="118"/>
      <c r="J110" s="119"/>
      <c r="K110" s="119"/>
      <c r="L110" s="119"/>
      <c r="M110" s="77">
        <v>2139</v>
      </c>
      <c r="N110" s="106"/>
      <c r="O110" s="113"/>
    </row>
    <row r="111" spans="1:15" s="6" customFormat="1" ht="15" customHeight="1" x14ac:dyDescent="0.3">
      <c r="A111" s="106"/>
      <c r="B111" s="156" t="s">
        <v>331</v>
      </c>
      <c r="C111" s="118" t="s">
        <v>148</v>
      </c>
      <c r="D111" s="119">
        <v>0</v>
      </c>
      <c r="E111" s="119"/>
      <c r="F111" s="119"/>
      <c r="G111" s="119"/>
      <c r="H111" s="119"/>
      <c r="I111" s="118"/>
      <c r="J111" s="119"/>
      <c r="K111" s="119"/>
      <c r="L111" s="119"/>
      <c r="M111" s="77">
        <v>5203</v>
      </c>
      <c r="N111" s="106"/>
      <c r="O111" s="113"/>
    </row>
    <row r="112" spans="1:15" ht="15" customHeight="1" x14ac:dyDescent="0.3">
      <c r="A112" s="106"/>
      <c r="B112" s="156" t="s">
        <v>252</v>
      </c>
      <c r="C112" s="118" t="s">
        <v>148</v>
      </c>
      <c r="D112" s="119">
        <v>-50</v>
      </c>
      <c r="E112" s="119">
        <v>119</v>
      </c>
      <c r="F112" s="119">
        <v>19</v>
      </c>
      <c r="G112" s="119">
        <v>281</v>
      </c>
      <c r="H112" s="119">
        <v>328</v>
      </c>
      <c r="I112" s="118"/>
      <c r="J112" s="119"/>
      <c r="K112" s="119"/>
      <c r="L112" s="119"/>
      <c r="M112" s="77">
        <v>112</v>
      </c>
      <c r="N112" s="106"/>
      <c r="O112" s="113"/>
    </row>
    <row r="113" spans="1:15" ht="15" customHeight="1" x14ac:dyDescent="0.3">
      <c r="A113" s="106"/>
      <c r="B113" s="161" t="s">
        <v>179</v>
      </c>
      <c r="C113" s="162" t="s">
        <v>148</v>
      </c>
      <c r="D113" s="163">
        <f>SUM(D96:D112)</f>
        <v>12468</v>
      </c>
      <c r="E113" s="163">
        <f t="shared" ref="E113:M113" si="14">SUM(E96:E112)</f>
        <v>15181</v>
      </c>
      <c r="F113" s="163">
        <f t="shared" si="14"/>
        <v>1559</v>
      </c>
      <c r="G113" s="163">
        <f t="shared" si="14"/>
        <v>8507</v>
      </c>
      <c r="H113" s="163">
        <f t="shared" si="14"/>
        <v>17525</v>
      </c>
      <c r="I113" s="163"/>
      <c r="J113" s="163"/>
      <c r="K113" s="163"/>
      <c r="L113" s="163"/>
      <c r="M113" s="163">
        <f t="shared" si="14"/>
        <v>45702</v>
      </c>
      <c r="N113" s="106"/>
      <c r="O113" s="113"/>
    </row>
    <row r="114" spans="1:15" ht="15" customHeight="1" x14ac:dyDescent="0.3">
      <c r="A114" s="106"/>
      <c r="B114" s="168" t="s">
        <v>300</v>
      </c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</row>
    <row r="115" spans="1:15" ht="15" customHeight="1" x14ac:dyDescent="0.3">
      <c r="A115" s="106"/>
      <c r="B115" s="166" t="s">
        <v>301</v>
      </c>
      <c r="C115" s="114" t="s">
        <v>148</v>
      </c>
      <c r="D115" s="115">
        <v>-10030</v>
      </c>
      <c r="E115" s="115">
        <v>-12067</v>
      </c>
      <c r="F115" s="115">
        <v>-7676</v>
      </c>
      <c r="G115" s="115">
        <v>-8386</v>
      </c>
      <c r="H115" s="115">
        <v>-15857</v>
      </c>
      <c r="I115" s="114"/>
      <c r="J115" s="115"/>
      <c r="K115" s="115"/>
      <c r="L115" s="115"/>
      <c r="M115" s="133">
        <v>-19602</v>
      </c>
      <c r="N115" s="106"/>
      <c r="O115" s="113"/>
    </row>
    <row r="116" spans="1:15" ht="15" customHeight="1" x14ac:dyDescent="0.3">
      <c r="A116" s="106"/>
      <c r="B116" s="156" t="s">
        <v>302</v>
      </c>
      <c r="C116" s="118" t="s">
        <v>148</v>
      </c>
      <c r="D116" s="119">
        <v>-3163</v>
      </c>
      <c r="E116" s="119">
        <v>-1770</v>
      </c>
      <c r="F116" s="119">
        <v>-723</v>
      </c>
      <c r="G116" s="119">
        <v>-1999</v>
      </c>
      <c r="H116" s="119">
        <v>-1890</v>
      </c>
      <c r="I116" s="118"/>
      <c r="J116" s="119"/>
      <c r="K116" s="119"/>
      <c r="L116" s="119"/>
      <c r="M116" s="77">
        <v>-4072</v>
      </c>
      <c r="N116" s="106"/>
      <c r="O116" s="113"/>
    </row>
    <row r="117" spans="1:15" ht="15" customHeight="1" x14ac:dyDescent="0.3">
      <c r="A117" s="106"/>
      <c r="B117" s="156" t="s">
        <v>303</v>
      </c>
      <c r="C117" s="118" t="s">
        <v>148</v>
      </c>
      <c r="D117" s="119">
        <v>1250</v>
      </c>
      <c r="E117" s="119">
        <v>1615</v>
      </c>
      <c r="F117" s="119">
        <v>1591</v>
      </c>
      <c r="G117" s="119">
        <v>1794</v>
      </c>
      <c r="H117" s="119">
        <v>1698</v>
      </c>
      <c r="I117" s="118"/>
      <c r="J117" s="119"/>
      <c r="K117" s="119"/>
      <c r="L117" s="119"/>
      <c r="M117" s="77">
        <v>1233</v>
      </c>
      <c r="N117" s="106"/>
      <c r="O117" s="113"/>
    </row>
    <row r="118" spans="1:15" ht="15" customHeight="1" x14ac:dyDescent="0.3">
      <c r="A118" s="106"/>
      <c r="B118" s="156" t="s">
        <v>304</v>
      </c>
      <c r="C118" s="118" t="s">
        <v>148</v>
      </c>
      <c r="D118" s="119">
        <v>856</v>
      </c>
      <c r="E118" s="119"/>
      <c r="F118" s="119"/>
      <c r="G118" s="119"/>
      <c r="H118" s="119"/>
      <c r="I118" s="118"/>
      <c r="J118" s="119"/>
      <c r="K118" s="119"/>
      <c r="L118" s="119"/>
      <c r="M118" s="77"/>
      <c r="N118" s="106"/>
      <c r="O118" s="113"/>
    </row>
    <row r="119" spans="1:15" ht="15" customHeight="1" x14ac:dyDescent="0.3">
      <c r="A119" s="106"/>
      <c r="B119" s="156" t="s">
        <v>305</v>
      </c>
      <c r="C119" s="118" t="s">
        <v>148</v>
      </c>
      <c r="D119" s="119">
        <v>495</v>
      </c>
      <c r="E119" s="119">
        <v>115</v>
      </c>
      <c r="F119" s="119">
        <v>710</v>
      </c>
      <c r="G119" s="119">
        <v>315</v>
      </c>
      <c r="H119" s="119">
        <v>2005</v>
      </c>
      <c r="I119" s="118"/>
      <c r="J119" s="119"/>
      <c r="K119" s="119"/>
      <c r="L119" s="119"/>
      <c r="M119" s="77">
        <v>2989</v>
      </c>
      <c r="N119" s="106"/>
      <c r="O119" s="113"/>
    </row>
    <row r="120" spans="1:15" s="6" customFormat="1" ht="15" customHeight="1" x14ac:dyDescent="0.3">
      <c r="A120" s="106"/>
      <c r="B120" s="156" t="s">
        <v>332</v>
      </c>
      <c r="C120" s="118" t="s">
        <v>148</v>
      </c>
      <c r="D120" s="119">
        <v>0</v>
      </c>
      <c r="E120" s="119">
        <v>888</v>
      </c>
      <c r="F120" s="119"/>
      <c r="G120" s="119"/>
      <c r="H120" s="119"/>
      <c r="I120" s="118"/>
      <c r="J120" s="119"/>
      <c r="K120" s="119"/>
      <c r="L120" s="119"/>
      <c r="M120" s="77"/>
      <c r="N120" s="106"/>
      <c r="O120" s="113"/>
    </row>
    <row r="121" spans="1:15" ht="15" customHeight="1" x14ac:dyDescent="0.3">
      <c r="A121" s="106"/>
      <c r="B121" s="156" t="s">
        <v>252</v>
      </c>
      <c r="C121" s="118" t="s">
        <v>148</v>
      </c>
      <c r="D121" s="119">
        <v>3</v>
      </c>
      <c r="E121" s="119">
        <v>-366</v>
      </c>
      <c r="F121" s="119">
        <v>-93</v>
      </c>
      <c r="G121" s="119">
        <v>-33</v>
      </c>
      <c r="H121" s="119">
        <v>-43</v>
      </c>
      <c r="I121" s="118"/>
      <c r="J121" s="119"/>
      <c r="K121" s="119"/>
      <c r="L121" s="119"/>
      <c r="M121" s="77">
        <v>-236</v>
      </c>
      <c r="N121" s="106"/>
      <c r="O121" s="113"/>
    </row>
    <row r="122" spans="1:15" ht="15" customHeight="1" x14ac:dyDescent="0.3">
      <c r="A122" s="106"/>
      <c r="B122" s="161" t="s">
        <v>306</v>
      </c>
      <c r="C122" s="162" t="s">
        <v>148</v>
      </c>
      <c r="D122" s="163">
        <f>SUM(D115:D121)</f>
        <v>-10589</v>
      </c>
      <c r="E122" s="163">
        <f t="shared" ref="E122:M122" si="15">SUM(E115:E121)</f>
        <v>-11585</v>
      </c>
      <c r="F122" s="163">
        <f t="shared" si="15"/>
        <v>-6191</v>
      </c>
      <c r="G122" s="163">
        <f t="shared" si="15"/>
        <v>-8309</v>
      </c>
      <c r="H122" s="163">
        <f t="shared" si="15"/>
        <v>-14087</v>
      </c>
      <c r="I122" s="163">
        <f t="shared" si="15"/>
        <v>0</v>
      </c>
      <c r="J122" s="163">
        <f t="shared" si="15"/>
        <v>0</v>
      </c>
      <c r="K122" s="163">
        <f t="shared" si="15"/>
        <v>0</v>
      </c>
      <c r="L122" s="163">
        <f t="shared" si="15"/>
        <v>0</v>
      </c>
      <c r="M122" s="163">
        <f t="shared" si="15"/>
        <v>-19688</v>
      </c>
      <c r="N122" s="106"/>
      <c r="O122" s="113"/>
    </row>
    <row r="123" spans="1:15" ht="15" customHeight="1" x14ac:dyDescent="0.3">
      <c r="A123" s="106"/>
      <c r="B123" s="168" t="s">
        <v>307</v>
      </c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</row>
    <row r="124" spans="1:15" ht="15" customHeight="1" x14ac:dyDescent="0.3">
      <c r="A124" s="106"/>
      <c r="B124" s="166" t="s">
        <v>181</v>
      </c>
      <c r="C124" s="114" t="s">
        <v>148</v>
      </c>
      <c r="D124" s="115">
        <v>-1520</v>
      </c>
      <c r="E124" s="115">
        <v>-2032</v>
      </c>
      <c r="F124" s="115">
        <v>-761</v>
      </c>
      <c r="G124" s="115">
        <v>-1897</v>
      </c>
      <c r="H124" s="115">
        <v>-4619</v>
      </c>
      <c r="I124" s="114"/>
      <c r="J124" s="115"/>
      <c r="K124" s="115"/>
      <c r="L124" s="115"/>
      <c r="M124" s="133">
        <v>-9380</v>
      </c>
      <c r="N124" s="106"/>
      <c r="O124" s="113"/>
    </row>
    <row r="125" spans="1:15" ht="15" customHeight="1" x14ac:dyDescent="0.3">
      <c r="A125" s="106"/>
      <c r="B125" s="156" t="s">
        <v>308</v>
      </c>
      <c r="C125" s="118" t="s">
        <v>148</v>
      </c>
      <c r="D125" s="119">
        <v>-1294</v>
      </c>
      <c r="E125" s="119">
        <v>-2432</v>
      </c>
      <c r="F125" s="119">
        <v>-425</v>
      </c>
      <c r="G125" s="119">
        <v>-300</v>
      </c>
      <c r="H125" s="119"/>
      <c r="I125" s="118"/>
      <c r="J125" s="119"/>
      <c r="K125" s="119"/>
      <c r="L125" s="119"/>
      <c r="M125" s="77">
        <v>-650</v>
      </c>
      <c r="N125" s="106"/>
      <c r="O125" s="113"/>
    </row>
    <row r="126" spans="1:15" s="6" customFormat="1" ht="15" customHeight="1" x14ac:dyDescent="0.3">
      <c r="A126" s="106"/>
      <c r="B126" s="156" t="s">
        <v>335</v>
      </c>
      <c r="C126" s="118" t="s">
        <v>148</v>
      </c>
      <c r="D126" s="119"/>
      <c r="E126" s="119"/>
      <c r="F126" s="119"/>
      <c r="G126" s="119"/>
      <c r="H126" s="119"/>
      <c r="I126" s="118"/>
      <c r="J126" s="119"/>
      <c r="K126" s="119"/>
      <c r="L126" s="119"/>
      <c r="M126" s="77">
        <v>-762</v>
      </c>
      <c r="N126" s="106"/>
      <c r="O126" s="113"/>
    </row>
    <row r="127" spans="1:15" s="6" customFormat="1" ht="15" customHeight="1" x14ac:dyDescent="0.3">
      <c r="A127" s="106"/>
      <c r="B127" s="156" t="s">
        <v>336</v>
      </c>
      <c r="C127" s="118" t="s">
        <v>148</v>
      </c>
      <c r="D127" s="119"/>
      <c r="E127" s="119">
        <v>-461</v>
      </c>
      <c r="F127" s="119">
        <v>-504</v>
      </c>
      <c r="G127" s="119">
        <v>-513</v>
      </c>
      <c r="H127" s="119">
        <v>-522</v>
      </c>
      <c r="I127" s="118"/>
      <c r="J127" s="119"/>
      <c r="K127" s="119"/>
      <c r="L127" s="119"/>
      <c r="M127" s="77">
        <v>-437</v>
      </c>
      <c r="N127" s="106"/>
      <c r="O127" s="113"/>
    </row>
    <row r="128" spans="1:15" ht="15" customHeight="1" x14ac:dyDescent="0.3">
      <c r="A128" s="106"/>
      <c r="B128" s="156" t="s">
        <v>309</v>
      </c>
      <c r="C128" s="118" t="s">
        <v>148</v>
      </c>
      <c r="D128" s="119">
        <v>-295</v>
      </c>
      <c r="E128" s="119">
        <v>-141</v>
      </c>
      <c r="F128" s="119">
        <v>-138</v>
      </c>
      <c r="G128" s="119">
        <v>-149</v>
      </c>
      <c r="H128" s="119"/>
      <c r="I128" s="118"/>
      <c r="J128" s="119"/>
      <c r="K128" s="119"/>
      <c r="L128" s="119"/>
      <c r="M128" s="77"/>
      <c r="N128" s="106"/>
      <c r="O128" s="113"/>
    </row>
    <row r="129" spans="1:15" ht="15" customHeight="1" x14ac:dyDescent="0.3">
      <c r="A129" s="106"/>
      <c r="B129" s="156" t="s">
        <v>327</v>
      </c>
      <c r="C129" s="118" t="s">
        <v>148</v>
      </c>
      <c r="D129" s="119">
        <v>0</v>
      </c>
      <c r="E129" s="119"/>
      <c r="F129" s="119"/>
      <c r="G129" s="119"/>
      <c r="H129" s="119"/>
      <c r="I129" s="118"/>
      <c r="J129" s="119"/>
      <c r="K129" s="119"/>
      <c r="L129" s="119"/>
      <c r="M129" s="77"/>
      <c r="N129" s="106"/>
      <c r="O129" s="113"/>
    </row>
    <row r="130" spans="1:15" ht="15" customHeight="1" x14ac:dyDescent="0.3">
      <c r="A130" s="106"/>
      <c r="B130" s="156" t="s">
        <v>180</v>
      </c>
      <c r="C130" s="118" t="s">
        <v>148</v>
      </c>
      <c r="D130" s="119">
        <v>1188</v>
      </c>
      <c r="E130" s="119">
        <v>2000</v>
      </c>
      <c r="F130" s="119">
        <v>6716</v>
      </c>
      <c r="G130" s="119">
        <v>999</v>
      </c>
      <c r="H130" s="119">
        <v>4430</v>
      </c>
      <c r="I130" s="118"/>
      <c r="J130" s="119"/>
      <c r="K130" s="119"/>
      <c r="L130" s="119"/>
      <c r="M130" s="77">
        <v>0</v>
      </c>
      <c r="N130" s="106"/>
      <c r="O130" s="113"/>
    </row>
    <row r="131" spans="1:15" ht="15" customHeight="1" x14ac:dyDescent="0.3">
      <c r="A131" s="106"/>
      <c r="B131" s="156" t="s">
        <v>252</v>
      </c>
      <c r="C131" s="118" t="s">
        <v>148</v>
      </c>
      <c r="D131" s="119">
        <v>140</v>
      </c>
      <c r="E131" s="119">
        <v>86</v>
      </c>
      <c r="F131" s="119">
        <v>95</v>
      </c>
      <c r="G131" s="119">
        <v>18</v>
      </c>
      <c r="H131" s="119">
        <v>-139</v>
      </c>
      <c r="I131" s="118"/>
      <c r="J131" s="119"/>
      <c r="K131" s="119"/>
      <c r="L131" s="119"/>
      <c r="M131" s="77">
        <v>583</v>
      </c>
      <c r="N131" s="106"/>
      <c r="O131" s="113"/>
    </row>
    <row r="132" spans="1:15" ht="15" customHeight="1" x14ac:dyDescent="0.3">
      <c r="A132" s="106"/>
      <c r="B132" s="161" t="s">
        <v>310</v>
      </c>
      <c r="C132" s="162" t="s">
        <v>148</v>
      </c>
      <c r="D132" s="163">
        <f>SUM(D124:D131)</f>
        <v>-1781</v>
      </c>
      <c r="E132" s="163">
        <f t="shared" ref="E132:M132" si="16">SUM(E124:E131)</f>
        <v>-2980</v>
      </c>
      <c r="F132" s="163">
        <f t="shared" si="16"/>
        <v>4983</v>
      </c>
      <c r="G132" s="163">
        <f t="shared" si="16"/>
        <v>-1842</v>
      </c>
      <c r="H132" s="163">
        <f t="shared" si="16"/>
        <v>-850</v>
      </c>
      <c r="I132" s="163"/>
      <c r="J132" s="163"/>
      <c r="K132" s="163"/>
      <c r="L132" s="163"/>
      <c r="M132" s="163">
        <f t="shared" si="16"/>
        <v>-10646</v>
      </c>
      <c r="N132" s="106"/>
      <c r="O132" s="113"/>
    </row>
    <row r="133" spans="1:15" ht="15" customHeight="1" x14ac:dyDescent="0.3">
      <c r="A133" s="106"/>
      <c r="B133" s="168" t="s">
        <v>244</v>
      </c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</row>
    <row r="134" spans="1:15" ht="15" customHeight="1" x14ac:dyDescent="0.3">
      <c r="A134" s="106"/>
      <c r="B134" s="166" t="s">
        <v>311</v>
      </c>
      <c r="C134" s="114" t="s">
        <v>148</v>
      </c>
      <c r="D134" s="115">
        <v>41</v>
      </c>
      <c r="E134" s="115">
        <v>-106</v>
      </c>
      <c r="F134" s="115">
        <v>-34</v>
      </c>
      <c r="G134" s="115">
        <v>40</v>
      </c>
      <c r="H134" s="115">
        <v>6</v>
      </c>
      <c r="I134" s="114"/>
      <c r="J134" s="115"/>
      <c r="K134" s="115"/>
      <c r="L134" s="115"/>
      <c r="M134" s="133">
        <v>8</v>
      </c>
      <c r="N134" s="106"/>
      <c r="O134" s="113"/>
    </row>
    <row r="135" spans="1:15" ht="15" customHeight="1" x14ac:dyDescent="0.3">
      <c r="A135" s="106"/>
      <c r="B135" s="160" t="s">
        <v>312</v>
      </c>
      <c r="C135" s="157" t="s">
        <v>148</v>
      </c>
      <c r="D135" s="158">
        <v>139</v>
      </c>
      <c r="E135" s="158">
        <v>510</v>
      </c>
      <c r="F135" s="158">
        <v>317</v>
      </c>
      <c r="G135" s="158">
        <v>-1604</v>
      </c>
      <c r="H135" s="158">
        <v>2594</v>
      </c>
      <c r="I135" s="157"/>
      <c r="J135" s="158"/>
      <c r="K135" s="158"/>
      <c r="L135" s="158"/>
      <c r="M135" s="159">
        <v>15376</v>
      </c>
      <c r="N135" s="106"/>
      <c r="O135" s="113"/>
    </row>
    <row r="136" spans="1:15" ht="15" customHeight="1" x14ac:dyDescent="0.3">
      <c r="A136" s="106"/>
      <c r="B136" s="156" t="s">
        <v>313</v>
      </c>
      <c r="C136" s="118" t="s">
        <v>148</v>
      </c>
      <c r="D136" s="119">
        <v>7690</v>
      </c>
      <c r="E136" s="119">
        <v>7829</v>
      </c>
      <c r="F136" s="119">
        <v>8339</v>
      </c>
      <c r="G136" s="119">
        <v>8656</v>
      </c>
      <c r="H136" s="119">
        <v>7052</v>
      </c>
      <c r="I136" s="118"/>
      <c r="J136" s="119"/>
      <c r="K136" s="119"/>
      <c r="L136" s="119"/>
      <c r="M136" s="77">
        <v>9646</v>
      </c>
      <c r="N136" s="106"/>
      <c r="O136" s="113"/>
    </row>
    <row r="137" spans="1:15" ht="15" customHeight="1" x14ac:dyDescent="0.3">
      <c r="A137" s="106"/>
      <c r="B137" s="161" t="s">
        <v>314</v>
      </c>
      <c r="C137" s="162" t="s">
        <v>148</v>
      </c>
      <c r="D137" s="163">
        <f>SUM(D135,D136)</f>
        <v>7829</v>
      </c>
      <c r="E137" s="163">
        <f t="shared" ref="E137:M137" si="17">SUM(E135,E136)</f>
        <v>8339</v>
      </c>
      <c r="F137" s="163">
        <f t="shared" si="17"/>
        <v>8656</v>
      </c>
      <c r="G137" s="163">
        <f t="shared" si="17"/>
        <v>7052</v>
      </c>
      <c r="H137" s="163">
        <f t="shared" si="17"/>
        <v>9646</v>
      </c>
      <c r="I137" s="163"/>
      <c r="J137" s="163"/>
      <c r="K137" s="163"/>
      <c r="L137" s="163"/>
      <c r="M137" s="163">
        <f t="shared" si="17"/>
        <v>25022</v>
      </c>
      <c r="N137" s="163"/>
      <c r="O137" s="113"/>
    </row>
    <row r="138" spans="1:15" ht="15" customHeight="1" x14ac:dyDescent="0.3">
      <c r="A138" s="106"/>
      <c r="B138" s="168" t="s">
        <v>315</v>
      </c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</row>
    <row r="139" spans="1:15" ht="15" customHeight="1" x14ac:dyDescent="0.3">
      <c r="A139" s="106"/>
      <c r="B139" s="166" t="s">
        <v>316</v>
      </c>
      <c r="C139" s="114" t="s">
        <v>148</v>
      </c>
      <c r="D139" s="115">
        <v>-361</v>
      </c>
      <c r="E139" s="115">
        <v>-493</v>
      </c>
      <c r="F139" s="115">
        <v>-532</v>
      </c>
      <c r="G139" s="115">
        <v>-338</v>
      </c>
      <c r="H139" s="115">
        <v>-583</v>
      </c>
      <c r="I139" s="114"/>
      <c r="J139" s="115"/>
      <c r="K139" s="115"/>
      <c r="L139" s="115"/>
      <c r="M139" s="133"/>
      <c r="N139" s="106"/>
      <c r="O139" s="113"/>
    </row>
    <row r="140" spans="1:15" s="6" customFormat="1" ht="15" customHeight="1" x14ac:dyDescent="0.3">
      <c r="A140" s="106"/>
      <c r="B140" s="155" t="s">
        <v>317</v>
      </c>
      <c r="C140" s="116" t="s">
        <v>148</v>
      </c>
      <c r="D140" s="117">
        <v>-171</v>
      </c>
      <c r="E140" s="115">
        <v>-154</v>
      </c>
      <c r="F140" s="115">
        <v>-323</v>
      </c>
      <c r="G140" s="115">
        <v>-503</v>
      </c>
      <c r="H140" s="115">
        <v>-418</v>
      </c>
      <c r="I140" s="114"/>
      <c r="J140" s="115"/>
      <c r="K140" s="115"/>
      <c r="L140" s="115"/>
      <c r="M140" s="133"/>
      <c r="N140" s="106"/>
      <c r="O140" s="113"/>
    </row>
    <row r="141" spans="1:15" ht="15" customHeight="1" x14ac:dyDescent="0.3">
      <c r="A141" s="106"/>
      <c r="B141" s="155" t="s">
        <v>328</v>
      </c>
      <c r="C141" s="116" t="s">
        <v>148</v>
      </c>
      <c r="D141" s="117">
        <v>684</v>
      </c>
      <c r="E141" s="117">
        <v>157</v>
      </c>
      <c r="F141" s="117">
        <v>165</v>
      </c>
      <c r="G141" s="117">
        <v>118</v>
      </c>
      <c r="H141" s="117">
        <v>321</v>
      </c>
      <c r="I141" s="116"/>
      <c r="J141" s="117"/>
      <c r="K141" s="117"/>
      <c r="L141" s="117"/>
      <c r="M141" s="56"/>
      <c r="N141" s="106"/>
      <c r="O141" s="113"/>
    </row>
    <row r="142" spans="1:15" ht="15" customHeight="1" x14ac:dyDescent="0.3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 spans="1:15" ht="24" customHeight="1" x14ac:dyDescent="0.3">
      <c r="A143" s="106"/>
      <c r="B143" s="151" t="s">
        <v>182</v>
      </c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</row>
    <row r="144" spans="1:15" ht="15" customHeight="1" x14ac:dyDescent="0.3">
      <c r="A144" s="106"/>
      <c r="B144" s="146" t="s">
        <v>141</v>
      </c>
      <c r="C144" s="146" t="s">
        <v>107</v>
      </c>
      <c r="D144" s="152" t="s">
        <v>142</v>
      </c>
      <c r="E144" s="152" t="s">
        <v>143</v>
      </c>
      <c r="F144" s="152" t="s">
        <v>144</v>
      </c>
      <c r="G144" s="152" t="s">
        <v>145</v>
      </c>
      <c r="H144" s="152" t="s">
        <v>146</v>
      </c>
      <c r="I144" s="153"/>
      <c r="J144" s="152" t="s">
        <v>231</v>
      </c>
      <c r="K144" s="152" t="s">
        <v>232</v>
      </c>
      <c r="L144" s="152" t="s">
        <v>233</v>
      </c>
      <c r="M144" s="152" t="s">
        <v>234</v>
      </c>
      <c r="N144" s="146"/>
      <c r="O144" s="146" t="s">
        <v>147</v>
      </c>
    </row>
    <row r="145" spans="1:18" ht="15" customHeight="1" x14ac:dyDescent="0.3">
      <c r="A145" s="106"/>
      <c r="B145" s="168" t="s">
        <v>318</v>
      </c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</row>
    <row r="146" spans="1:18" ht="15" customHeight="1" x14ac:dyDescent="0.3">
      <c r="A146" s="106"/>
      <c r="B146" s="166" t="s">
        <v>319</v>
      </c>
      <c r="C146" s="114" t="s">
        <v>148</v>
      </c>
      <c r="E146" s="115"/>
      <c r="F146" s="115">
        <v>1872</v>
      </c>
      <c r="G146" s="115">
        <v>3792</v>
      </c>
      <c r="H146" s="115">
        <v>13524</v>
      </c>
      <c r="I146" s="114"/>
      <c r="J146" s="115">
        <v>5284</v>
      </c>
      <c r="K146" s="115">
        <v>7749</v>
      </c>
      <c r="L146" s="115">
        <v>13769</v>
      </c>
      <c r="M146" s="133">
        <v>26802</v>
      </c>
      <c r="N146" s="106"/>
      <c r="O146" s="113"/>
    </row>
    <row r="147" spans="1:18" ht="15" customHeight="1" x14ac:dyDescent="0.3">
      <c r="A147" s="106"/>
      <c r="B147" s="156" t="s">
        <v>320</v>
      </c>
      <c r="C147" s="118" t="s">
        <v>148</v>
      </c>
      <c r="D147" s="119"/>
      <c r="E147" s="119"/>
      <c r="F147" s="119">
        <v>2124</v>
      </c>
      <c r="G147" s="119">
        <v>4984</v>
      </c>
      <c r="H147" s="119">
        <v>7229</v>
      </c>
      <c r="I147" s="118"/>
      <c r="J147" s="119">
        <v>2379</v>
      </c>
      <c r="K147" s="119">
        <v>5687</v>
      </c>
      <c r="L147" s="119">
        <v>11524</v>
      </c>
      <c r="M147" s="77">
        <v>19590</v>
      </c>
      <c r="N147" s="106"/>
      <c r="O147" s="113"/>
    </row>
    <row r="148" spans="1:18" ht="15" customHeight="1" x14ac:dyDescent="0.3">
      <c r="A148" s="106"/>
      <c r="B148" s="156" t="s">
        <v>321</v>
      </c>
      <c r="C148" s="118" t="s">
        <v>148</v>
      </c>
      <c r="D148" s="119"/>
      <c r="E148" s="119"/>
      <c r="F148" s="119">
        <v>7394</v>
      </c>
      <c r="G148" s="119">
        <v>11667</v>
      </c>
      <c r="H148" s="119">
        <v>11859</v>
      </c>
      <c r="I148" s="118"/>
      <c r="J148" s="119">
        <v>4255</v>
      </c>
      <c r="K148" s="119">
        <v>7711</v>
      </c>
      <c r="L148" s="119">
        <v>11521</v>
      </c>
      <c r="M148" s="77">
        <v>23487</v>
      </c>
      <c r="N148" s="106"/>
      <c r="O148" s="113"/>
    </row>
    <row r="149" spans="1:18" ht="15" customHeight="1" x14ac:dyDescent="0.3">
      <c r="A149" s="106"/>
      <c r="B149" s="156" t="s">
        <v>322</v>
      </c>
      <c r="C149" s="118" t="s">
        <v>148</v>
      </c>
      <c r="D149" s="119"/>
      <c r="E149" s="119"/>
      <c r="F149" s="119">
        <v>4139</v>
      </c>
      <c r="G149" s="119">
        <v>4631</v>
      </c>
      <c r="H149" s="119">
        <v>4753</v>
      </c>
      <c r="I149" s="118"/>
      <c r="J149" s="119">
        <v>1720</v>
      </c>
      <c r="K149" s="119">
        <v>2708</v>
      </c>
      <c r="L149" s="119">
        <v>4634</v>
      </c>
      <c r="M149" s="77">
        <v>9062</v>
      </c>
      <c r="N149" s="106"/>
      <c r="O149" s="113"/>
    </row>
    <row r="150" spans="1:18" ht="15" customHeight="1" x14ac:dyDescent="0.3">
      <c r="A150" s="106"/>
      <c r="B150" s="161" t="s">
        <v>249</v>
      </c>
      <c r="C150" s="162" t="s">
        <v>148</v>
      </c>
      <c r="D150" s="163"/>
      <c r="E150" s="163"/>
      <c r="F150" s="163">
        <v>15540</v>
      </c>
      <c r="G150" s="163">
        <v>25111</v>
      </c>
      <c r="H150" s="163">
        <v>37378</v>
      </c>
      <c r="I150" s="162"/>
      <c r="J150" s="163">
        <v>13643</v>
      </c>
      <c r="K150" s="163">
        <v>23860</v>
      </c>
      <c r="L150" s="163">
        <v>41456</v>
      </c>
      <c r="M150" s="164">
        <v>78959</v>
      </c>
      <c r="N150" s="106"/>
      <c r="O150" s="113"/>
    </row>
    <row r="151" spans="1:18" ht="15" customHeight="1" x14ac:dyDescent="0.3">
      <c r="A151" s="106"/>
      <c r="B151" s="170" t="s">
        <v>323</v>
      </c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</row>
    <row r="152" spans="1:18" ht="15" customHeight="1" x14ac:dyDescent="0.3">
      <c r="A152" s="106"/>
      <c r="B152" s="166" t="s">
        <v>245</v>
      </c>
      <c r="C152" s="114" t="s">
        <v>148</v>
      </c>
      <c r="D152" s="115">
        <v>12280</v>
      </c>
      <c r="E152" s="115">
        <v>13693</v>
      </c>
      <c r="F152" s="115">
        <v>5710</v>
      </c>
      <c r="G152" s="115">
        <v>9513</v>
      </c>
      <c r="H152" s="115"/>
      <c r="I152" s="114"/>
      <c r="J152" s="115"/>
      <c r="K152" s="115"/>
      <c r="L152" s="115"/>
      <c r="M152" s="133"/>
      <c r="N152" s="106"/>
      <c r="O152" s="113"/>
    </row>
    <row r="153" spans="1:18" ht="15" customHeight="1" x14ac:dyDescent="0.3">
      <c r="A153" s="106"/>
      <c r="B153" s="156" t="s">
        <v>246</v>
      </c>
      <c r="C153" s="118" t="s">
        <v>148</v>
      </c>
      <c r="D153" s="119">
        <v>7203</v>
      </c>
      <c r="E153" s="119">
        <v>7260</v>
      </c>
      <c r="F153" s="119">
        <v>3630</v>
      </c>
      <c r="G153" s="119">
        <v>6354</v>
      </c>
      <c r="H153" s="119"/>
      <c r="I153" s="118"/>
      <c r="J153" s="119"/>
      <c r="K153" s="119"/>
      <c r="L153" s="119"/>
      <c r="M153" s="77"/>
      <c r="N153" s="106"/>
      <c r="O153" s="113"/>
      <c r="R153" s="185"/>
    </row>
    <row r="154" spans="1:18" ht="15" customHeight="1" x14ac:dyDescent="0.3">
      <c r="A154" s="106"/>
      <c r="B154" s="156" t="s">
        <v>248</v>
      </c>
      <c r="C154" s="118" t="s">
        <v>148</v>
      </c>
      <c r="D154" s="119">
        <v>3973</v>
      </c>
      <c r="E154" s="119">
        <v>4553</v>
      </c>
      <c r="F154" s="119">
        <v>2553</v>
      </c>
      <c r="G154" s="119">
        <v>4592</v>
      </c>
      <c r="H154" s="119"/>
      <c r="I154" s="118"/>
      <c r="J154" s="119"/>
      <c r="K154" s="119"/>
      <c r="L154" s="119"/>
      <c r="M154" s="77"/>
      <c r="N154" s="106"/>
      <c r="O154" s="113"/>
    </row>
    <row r="155" spans="1:18" ht="15" customHeight="1" x14ac:dyDescent="0.3">
      <c r="A155" s="106"/>
      <c r="B155" s="156" t="s">
        <v>247</v>
      </c>
      <c r="C155" s="118" t="s">
        <v>148</v>
      </c>
      <c r="D155" s="119">
        <v>4209</v>
      </c>
      <c r="E155" s="119">
        <v>5235</v>
      </c>
      <c r="F155" s="119">
        <v>3637</v>
      </c>
      <c r="G155" s="119">
        <v>4614</v>
      </c>
      <c r="H155" s="119"/>
      <c r="I155" s="118"/>
      <c r="J155" s="119"/>
      <c r="K155" s="119"/>
      <c r="L155" s="119"/>
      <c r="M155" s="77"/>
      <c r="N155" s="106"/>
      <c r="O155" s="113"/>
    </row>
    <row r="156" spans="1:18" s="6" customFormat="1" ht="15" customHeight="1" x14ac:dyDescent="0.3">
      <c r="A156" s="106"/>
      <c r="B156" s="166" t="s">
        <v>329</v>
      </c>
      <c r="C156" s="118" t="s">
        <v>148</v>
      </c>
      <c r="D156" s="115">
        <v>40</v>
      </c>
      <c r="E156" s="115">
        <v>17</v>
      </c>
      <c r="F156" s="115">
        <v>10</v>
      </c>
      <c r="G156" s="115">
        <v>38</v>
      </c>
      <c r="H156" s="115"/>
      <c r="I156" s="114"/>
      <c r="J156" s="115"/>
      <c r="K156" s="115"/>
      <c r="L156" s="115"/>
      <c r="M156" s="133"/>
      <c r="N156" s="106"/>
      <c r="O156" s="113"/>
    </row>
    <row r="157" spans="1:18" ht="15" customHeight="1" x14ac:dyDescent="0.3">
      <c r="A157" s="106"/>
      <c r="B157" s="161" t="s">
        <v>324</v>
      </c>
      <c r="C157" s="162" t="s">
        <v>148</v>
      </c>
      <c r="D157" s="163">
        <f>SUM(D152:D156)</f>
        <v>27705</v>
      </c>
      <c r="E157" s="163">
        <f t="shared" ref="E157:G157" si="18">SUM(E152:E156)</f>
        <v>30758</v>
      </c>
      <c r="F157" s="163">
        <f t="shared" si="18"/>
        <v>15540</v>
      </c>
      <c r="G157" s="163">
        <f t="shared" si="18"/>
        <v>25111</v>
      </c>
      <c r="H157" s="163"/>
      <c r="I157" s="162"/>
      <c r="J157" s="163"/>
      <c r="K157" s="163"/>
      <c r="L157" s="163"/>
      <c r="M157" s="164"/>
      <c r="N157" s="106"/>
      <c r="O157" s="113"/>
    </row>
    <row r="158" spans="1:18" ht="15" customHeight="1" x14ac:dyDescent="0.3">
      <c r="A158" s="106"/>
      <c r="B158" s="168" t="s">
        <v>325</v>
      </c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</row>
    <row r="159" spans="1:18" ht="15" customHeight="1" x14ac:dyDescent="0.3">
      <c r="A159" s="106"/>
      <c r="B159" s="166" t="s">
        <v>250</v>
      </c>
      <c r="C159" s="114" t="s">
        <v>148</v>
      </c>
      <c r="D159" s="115">
        <v>20039</v>
      </c>
      <c r="E159" s="115">
        <v>22386</v>
      </c>
      <c r="F159" s="115">
        <v>10978</v>
      </c>
      <c r="G159" s="115">
        <v>17603</v>
      </c>
      <c r="H159" s="115">
        <v>28578</v>
      </c>
      <c r="I159" s="114"/>
      <c r="J159" s="115">
        <v>10812</v>
      </c>
      <c r="K159" s="115">
        <v>18768</v>
      </c>
      <c r="L159" s="115">
        <v>31328</v>
      </c>
      <c r="M159" s="133">
        <v>60908</v>
      </c>
      <c r="N159" s="106"/>
      <c r="O159" s="113"/>
    </row>
    <row r="160" spans="1:18" ht="15" customHeight="1" x14ac:dyDescent="0.3">
      <c r="A160" s="106"/>
      <c r="B160" s="156" t="s">
        <v>251</v>
      </c>
      <c r="C160" s="118" t="s">
        <v>148</v>
      </c>
      <c r="D160" s="119">
        <v>7007</v>
      </c>
      <c r="E160" s="119">
        <v>7811</v>
      </c>
      <c r="F160" s="119">
        <v>4206</v>
      </c>
      <c r="G160" s="119">
        <v>7227</v>
      </c>
      <c r="H160" s="119">
        <v>8503</v>
      </c>
      <c r="I160" s="118"/>
      <c r="J160" s="119">
        <v>2743</v>
      </c>
      <c r="K160" s="119">
        <v>4997</v>
      </c>
      <c r="L160" s="119">
        <v>9943</v>
      </c>
      <c r="M160" s="77">
        <v>17683</v>
      </c>
      <c r="N160" s="106"/>
      <c r="O160" s="113"/>
    </row>
    <row r="161" spans="1:15" ht="15" customHeight="1" x14ac:dyDescent="0.3">
      <c r="A161" s="106"/>
      <c r="B161" s="156" t="s">
        <v>252</v>
      </c>
      <c r="C161" s="118" t="s">
        <v>148</v>
      </c>
      <c r="D161" s="119">
        <v>659</v>
      </c>
      <c r="E161" s="119">
        <v>561</v>
      </c>
      <c r="F161" s="119">
        <v>356</v>
      </c>
      <c r="G161" s="119">
        <v>281</v>
      </c>
      <c r="H161" s="119">
        <v>297</v>
      </c>
      <c r="I161" s="118"/>
      <c r="J161" s="119">
        <v>88</v>
      </c>
      <c r="K161" s="119">
        <v>95</v>
      </c>
      <c r="L161" s="119">
        <v>185</v>
      </c>
      <c r="M161" s="77">
        <v>368</v>
      </c>
      <c r="N161" s="106"/>
      <c r="O161" s="113"/>
    </row>
    <row r="162" spans="1:15" ht="15" customHeight="1" x14ac:dyDescent="0.3">
      <c r="A162" s="106"/>
      <c r="B162" s="161" t="s">
        <v>326</v>
      </c>
      <c r="C162" s="162" t="s">
        <v>148</v>
      </c>
      <c r="D162" s="163">
        <f>SUM(D159:D161)</f>
        <v>27705</v>
      </c>
      <c r="E162" s="163">
        <f t="shared" ref="E162:M162" si="19">SUM(E159:E161)</f>
        <v>30758</v>
      </c>
      <c r="F162" s="163">
        <f t="shared" si="19"/>
        <v>15540</v>
      </c>
      <c r="G162" s="163">
        <f t="shared" si="19"/>
        <v>25111</v>
      </c>
      <c r="H162" s="163">
        <f t="shared" si="19"/>
        <v>37378</v>
      </c>
      <c r="I162" s="163"/>
      <c r="J162" s="163">
        <f t="shared" si="19"/>
        <v>13643</v>
      </c>
      <c r="K162" s="163">
        <f t="shared" si="19"/>
        <v>23860</v>
      </c>
      <c r="L162" s="163">
        <f t="shared" si="19"/>
        <v>41456</v>
      </c>
      <c r="M162" s="163">
        <f t="shared" si="19"/>
        <v>78959</v>
      </c>
      <c r="N162" s="106"/>
      <c r="O162" s="113"/>
    </row>
    <row r="163" spans="1:15" ht="15" customHeight="1" x14ac:dyDescent="0.3">
      <c r="A163" s="106"/>
      <c r="B163" s="168" t="s">
        <v>253</v>
      </c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</row>
    <row r="164" spans="1:15" ht="15" customHeight="1" x14ac:dyDescent="0.3">
      <c r="A164" s="106"/>
      <c r="B164" s="166" t="s">
        <v>183</v>
      </c>
      <c r="C164" s="114" t="s">
        <v>111</v>
      </c>
      <c r="D164" s="171"/>
      <c r="E164" s="171">
        <v>0.11</v>
      </c>
      <c r="F164" s="171">
        <v>-0.08</v>
      </c>
      <c r="G164" s="171">
        <v>0.45</v>
      </c>
      <c r="H164" s="171">
        <v>0.15</v>
      </c>
      <c r="I164" s="114"/>
      <c r="J164" s="171">
        <v>0.25</v>
      </c>
      <c r="K164" s="171">
        <v>0.45</v>
      </c>
      <c r="L164" s="171">
        <v>0.22</v>
      </c>
      <c r="M164" s="172">
        <v>0.3</v>
      </c>
      <c r="N164" s="106"/>
      <c r="O164" s="113" t="s">
        <v>456</v>
      </c>
    </row>
    <row r="165" spans="1:15" ht="15" customHeight="1" x14ac:dyDescent="0.3">
      <c r="A165" s="106"/>
      <c r="B165" s="156" t="s">
        <v>184</v>
      </c>
      <c r="C165" s="118" t="s">
        <v>111</v>
      </c>
      <c r="D165" s="124"/>
      <c r="E165" s="124">
        <v>0</v>
      </c>
      <c r="F165" s="124">
        <v>-0.48</v>
      </c>
      <c r="G165" s="124">
        <v>0.12</v>
      </c>
      <c r="H165" s="124">
        <v>0.42</v>
      </c>
      <c r="I165" s="118"/>
      <c r="J165" s="124">
        <v>0.35</v>
      </c>
      <c r="K165" s="124">
        <v>1.1499999999999999</v>
      </c>
      <c r="L165" s="124">
        <v>2.62</v>
      </c>
      <c r="M165" s="78">
        <v>1.4</v>
      </c>
      <c r="N165" s="106"/>
      <c r="O165" s="113" t="s">
        <v>457</v>
      </c>
    </row>
    <row r="166" spans="1:15" ht="15" customHeight="1" x14ac:dyDescent="0.3">
      <c r="A166" s="106"/>
      <c r="B166" s="156" t="s">
        <v>185</v>
      </c>
      <c r="C166" s="118" t="s">
        <v>111</v>
      </c>
      <c r="D166" s="124"/>
      <c r="E166" s="124">
        <v>0.08</v>
      </c>
      <c r="F166" s="124">
        <v>0.08</v>
      </c>
      <c r="G166" s="124">
        <v>0.32</v>
      </c>
      <c r="H166" s="124">
        <v>0.18</v>
      </c>
      <c r="I166" s="118"/>
      <c r="J166" s="124">
        <v>0.28000000000000003</v>
      </c>
      <c r="K166" s="124">
        <v>0.3</v>
      </c>
      <c r="L166" s="124"/>
      <c r="M166" s="78">
        <v>0.22</v>
      </c>
      <c r="N166" s="106"/>
      <c r="O166" s="113"/>
    </row>
    <row r="167" spans="1:15" ht="15" customHeight="1" x14ac:dyDescent="0.3">
      <c r="A167" s="106"/>
      <c r="B167" s="155" t="s">
        <v>186</v>
      </c>
      <c r="C167" s="116" t="s">
        <v>111</v>
      </c>
      <c r="D167" s="123"/>
      <c r="E167" s="123">
        <v>0.02</v>
      </c>
      <c r="F167" s="123">
        <v>-0.52</v>
      </c>
      <c r="G167" s="123">
        <v>0.32</v>
      </c>
      <c r="H167" s="123">
        <v>0</v>
      </c>
      <c r="I167" s="116"/>
      <c r="J167" s="123">
        <v>-0.05</v>
      </c>
      <c r="K167" s="123"/>
      <c r="L167" s="123">
        <v>3.15</v>
      </c>
      <c r="M167" s="57">
        <v>1.3</v>
      </c>
      <c r="N167" s="106"/>
      <c r="O167" s="113" t="s">
        <v>457</v>
      </c>
    </row>
    <row r="168" spans="1:15" ht="15" customHeight="1" x14ac:dyDescent="0.3">
      <c r="A168" s="106"/>
      <c r="B168" s="168" t="s">
        <v>254</v>
      </c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</row>
    <row r="169" spans="1:15" ht="15" customHeight="1" x14ac:dyDescent="0.3">
      <c r="A169" s="106"/>
      <c r="B169" s="166" t="s">
        <v>187</v>
      </c>
      <c r="C169" s="114" t="s">
        <v>111</v>
      </c>
      <c r="D169" s="171">
        <f>D20/D18</f>
        <v>0.37621367984118392</v>
      </c>
      <c r="E169" s="171">
        <f>E20/E18</f>
        <v>0.45184992522270628</v>
      </c>
      <c r="F169" s="171">
        <f>F20/F18</f>
        <v>-9.1119691119691121E-2</v>
      </c>
      <c r="G169" s="171">
        <f>G20/G18</f>
        <v>0.22352753773246783</v>
      </c>
      <c r="H169" s="171">
        <f>H20/H18</f>
        <v>0.39790786023864305</v>
      </c>
      <c r="I169" s="114"/>
      <c r="J169" s="171">
        <f>J20/J18</f>
        <v>0.56043392215788312</v>
      </c>
      <c r="K169" s="171">
        <f>K20/K18</f>
        <v>0.74413243922883487</v>
      </c>
      <c r="L169" s="171">
        <f>L20/L18</f>
        <v>0.84561945194905441</v>
      </c>
      <c r="M169" s="172">
        <f>M20/M18</f>
        <v>0.76567585709038866</v>
      </c>
      <c r="N169" s="106"/>
      <c r="O169" s="113"/>
    </row>
    <row r="170" spans="1:15" ht="15" customHeight="1" x14ac:dyDescent="0.3">
      <c r="A170" s="106"/>
      <c r="B170" s="156" t="s">
        <v>255</v>
      </c>
      <c r="C170" s="118" t="s">
        <v>111</v>
      </c>
      <c r="D170" s="124">
        <f>D26/D18</f>
        <v>0.22678216928352282</v>
      </c>
      <c r="E170" s="124">
        <f>E26/E18</f>
        <v>0.31543013199817932</v>
      </c>
      <c r="F170" s="124">
        <f>F26/F18</f>
        <v>-0.36969111969111967</v>
      </c>
      <c r="G170" s="124">
        <f>G26/G18</f>
        <v>5.192943331607662E-2</v>
      </c>
      <c r="H170" s="124">
        <f>H26/H18</f>
        <v>0.26138370164267749</v>
      </c>
      <c r="I170" s="118"/>
      <c r="J170" s="124">
        <f>J26/J18</f>
        <v>0.44975445283295462</v>
      </c>
      <c r="K170" s="124">
        <f>K26/K18</f>
        <v>0.67623637887678123</v>
      </c>
      <c r="L170" s="124">
        <f>L26/L18</f>
        <v>0.80369548436896954</v>
      </c>
      <c r="M170" s="78">
        <f>M26/M18</f>
        <v>0.70402360718854085</v>
      </c>
      <c r="N170" s="106"/>
      <c r="O170" s="113"/>
    </row>
    <row r="171" spans="1:15" ht="15" customHeight="1" x14ac:dyDescent="0.3">
      <c r="A171" s="106"/>
      <c r="B171" s="156" t="s">
        <v>188</v>
      </c>
      <c r="C171" s="118" t="s">
        <v>236</v>
      </c>
      <c r="D171" s="122">
        <v>43000</v>
      </c>
      <c r="E171" s="122">
        <v>48000</v>
      </c>
      <c r="F171" s="122">
        <v>43000</v>
      </c>
      <c r="G171" s="122">
        <v>48000</v>
      </c>
      <c r="H171" s="122">
        <v>53000</v>
      </c>
      <c r="I171" s="118"/>
      <c r="J171" s="122"/>
      <c r="K171" s="122"/>
      <c r="L171" s="122"/>
      <c r="M171" s="78"/>
      <c r="N171" s="106"/>
      <c r="O171" s="113"/>
    </row>
    <row r="172" spans="1:15" ht="15" customHeight="1" x14ac:dyDescent="0.3">
      <c r="A172" s="106"/>
      <c r="B172" s="155" t="s">
        <v>803</v>
      </c>
      <c r="C172" s="116" t="s">
        <v>113</v>
      </c>
      <c r="D172" s="281">
        <v>6.25</v>
      </c>
      <c r="E172" s="281">
        <v>3.52</v>
      </c>
      <c r="F172" s="281">
        <v>19.329999999999998</v>
      </c>
      <c r="G172" s="281">
        <v>12.3</v>
      </c>
      <c r="H172" s="281">
        <v>7.77</v>
      </c>
      <c r="I172" s="116"/>
      <c r="J172" s="121"/>
      <c r="K172" s="121"/>
      <c r="L172" s="121"/>
      <c r="M172" s="140"/>
      <c r="N172" s="106"/>
      <c r="O172" s="113" t="s">
        <v>804</v>
      </c>
    </row>
    <row r="173" spans="1:15" ht="15" customHeight="1" x14ac:dyDescent="0.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 spans="1:15" ht="24" customHeight="1" x14ac:dyDescent="0.3">
      <c r="A174" s="106"/>
      <c r="B174" s="151" t="s">
        <v>228</v>
      </c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</row>
    <row r="175" spans="1:15" ht="15" customHeight="1" x14ac:dyDescent="0.3">
      <c r="A175" s="106"/>
      <c r="B175" s="146" t="s">
        <v>189</v>
      </c>
      <c r="C175" s="146" t="s">
        <v>107</v>
      </c>
      <c r="D175" s="152" t="s">
        <v>190</v>
      </c>
      <c r="E175" s="152" t="s">
        <v>191</v>
      </c>
      <c r="F175" s="146"/>
      <c r="G175" s="146"/>
      <c r="H175" s="146"/>
      <c r="I175" s="146"/>
      <c r="J175" s="146"/>
      <c r="K175" s="146"/>
      <c r="L175" s="146"/>
      <c r="M175" s="146"/>
      <c r="N175" s="146"/>
      <c r="O175" s="146" t="s">
        <v>147</v>
      </c>
    </row>
    <row r="176" spans="1:15" ht="15" customHeight="1" x14ac:dyDescent="0.3">
      <c r="A176" s="106"/>
      <c r="B176" s="168" t="s">
        <v>256</v>
      </c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</row>
    <row r="177" spans="1:15" ht="15" customHeight="1" x14ac:dyDescent="0.3">
      <c r="A177" s="106"/>
      <c r="B177" s="166" t="s">
        <v>192</v>
      </c>
      <c r="C177" s="114" t="s">
        <v>155</v>
      </c>
      <c r="D177" s="126">
        <v>927.6</v>
      </c>
      <c r="E177" s="127" t="s">
        <v>661</v>
      </c>
      <c r="F177" s="106"/>
      <c r="G177" s="106"/>
      <c r="H177" s="106"/>
      <c r="I177" s="106"/>
      <c r="J177" s="106"/>
      <c r="K177" s="106"/>
      <c r="L177" s="106"/>
      <c r="M177" s="106"/>
      <c r="N177" s="106"/>
      <c r="O177" s="113" t="s">
        <v>662</v>
      </c>
    </row>
    <row r="178" spans="1:15" ht="15" customHeight="1" x14ac:dyDescent="0.3">
      <c r="A178" s="106"/>
      <c r="B178" s="156" t="s">
        <v>193</v>
      </c>
      <c r="C178" s="118" t="s">
        <v>156</v>
      </c>
      <c r="D178" s="122">
        <v>1129.393151</v>
      </c>
      <c r="E178" s="129" t="s">
        <v>337</v>
      </c>
      <c r="F178" s="106"/>
      <c r="G178" s="106"/>
      <c r="H178" s="106"/>
      <c r="I178" s="106"/>
      <c r="J178" s="106"/>
      <c r="K178" s="106"/>
      <c r="L178" s="106"/>
      <c r="M178" s="106"/>
      <c r="N178" s="106"/>
      <c r="O178" s="113" t="s">
        <v>663</v>
      </c>
    </row>
    <row r="179" spans="1:15" ht="15" customHeight="1" x14ac:dyDescent="0.3">
      <c r="A179" s="106"/>
      <c r="B179" s="156" t="s">
        <v>194</v>
      </c>
      <c r="C179" s="118" t="s">
        <v>156</v>
      </c>
      <c r="D179" s="122">
        <v>1145</v>
      </c>
      <c r="E179" s="129" t="s">
        <v>338</v>
      </c>
      <c r="F179" s="106"/>
      <c r="G179" s="106"/>
      <c r="H179" s="106"/>
      <c r="I179" s="106"/>
      <c r="J179" s="106"/>
      <c r="K179" s="106"/>
      <c r="L179" s="106"/>
      <c r="M179" s="106"/>
      <c r="N179" s="106"/>
      <c r="O179" s="113" t="s">
        <v>664</v>
      </c>
    </row>
    <row r="180" spans="1:15" ht="15" customHeight="1" x14ac:dyDescent="0.3">
      <c r="A180" s="106"/>
      <c r="B180" s="160" t="s">
        <v>195</v>
      </c>
      <c r="C180" s="157" t="s">
        <v>148</v>
      </c>
      <c r="D180" s="158">
        <f>D177*D178</f>
        <v>1047625.0868676</v>
      </c>
      <c r="E180" s="173" t="s">
        <v>661</v>
      </c>
      <c r="F180" s="106"/>
      <c r="G180" s="106"/>
      <c r="H180" s="106"/>
      <c r="I180" s="106"/>
      <c r="J180" s="106"/>
      <c r="K180" s="106"/>
      <c r="L180" s="106"/>
      <c r="M180" s="106"/>
      <c r="N180" s="106"/>
      <c r="O180" s="113"/>
    </row>
    <row r="181" spans="1:15" ht="15" customHeight="1" x14ac:dyDescent="0.3">
      <c r="A181" s="106"/>
      <c r="B181" s="156" t="s">
        <v>196</v>
      </c>
      <c r="C181" s="118" t="s">
        <v>148</v>
      </c>
      <c r="D181" s="119">
        <v>5722</v>
      </c>
      <c r="E181" s="129" t="s">
        <v>338</v>
      </c>
      <c r="F181" s="106"/>
      <c r="G181" s="106"/>
      <c r="H181" s="106"/>
      <c r="I181" s="106"/>
      <c r="J181" s="106"/>
      <c r="K181" s="106"/>
      <c r="L181" s="106"/>
      <c r="M181" s="106"/>
      <c r="N181" s="106"/>
      <c r="O181" s="113" t="s">
        <v>665</v>
      </c>
    </row>
    <row r="182" spans="1:15" ht="15" customHeight="1" x14ac:dyDescent="0.3">
      <c r="A182" s="106"/>
      <c r="B182" s="156" t="s">
        <v>197</v>
      </c>
      <c r="C182" s="118" t="s">
        <v>148</v>
      </c>
      <c r="D182" s="119">
        <v>30128</v>
      </c>
      <c r="E182" s="129" t="s">
        <v>338</v>
      </c>
      <c r="F182" s="106"/>
      <c r="G182" s="106"/>
      <c r="H182" s="106"/>
      <c r="I182" s="106"/>
      <c r="J182" s="106"/>
      <c r="K182" s="106"/>
      <c r="L182" s="106"/>
      <c r="M182" s="106"/>
      <c r="N182" s="106"/>
      <c r="O182" s="113" t="s">
        <v>666</v>
      </c>
    </row>
    <row r="183" spans="1:15" ht="15" customHeight="1" x14ac:dyDescent="0.3">
      <c r="A183" s="106"/>
      <c r="B183" s="160" t="s">
        <v>198</v>
      </c>
      <c r="C183" s="157" t="s">
        <v>148</v>
      </c>
      <c r="D183" s="158">
        <f>D181-D182</f>
        <v>-24406</v>
      </c>
      <c r="E183" s="173" t="s">
        <v>338</v>
      </c>
      <c r="F183" s="106"/>
      <c r="G183" s="106"/>
      <c r="H183" s="106"/>
      <c r="I183" s="106"/>
      <c r="J183" s="106"/>
      <c r="K183" s="106"/>
      <c r="L183" s="106"/>
      <c r="M183" s="106"/>
      <c r="N183" s="106"/>
      <c r="O183" s="113"/>
    </row>
    <row r="184" spans="1:15" ht="15" customHeight="1" x14ac:dyDescent="0.3">
      <c r="A184" s="106"/>
      <c r="B184" s="161" t="s">
        <v>65</v>
      </c>
      <c r="C184" s="162" t="s">
        <v>148</v>
      </c>
      <c r="D184" s="163">
        <f>D180+D183</f>
        <v>1023219.0868676</v>
      </c>
      <c r="E184" s="174" t="s">
        <v>661</v>
      </c>
      <c r="F184" s="106"/>
      <c r="G184" s="106"/>
      <c r="H184" s="106"/>
      <c r="I184" s="106"/>
      <c r="J184" s="106"/>
      <c r="K184" s="106"/>
      <c r="L184" s="106"/>
      <c r="M184" s="106"/>
      <c r="N184" s="106"/>
      <c r="O184" s="113"/>
    </row>
    <row r="185" spans="1:15" ht="15" customHeight="1" x14ac:dyDescent="0.3">
      <c r="A185" s="106"/>
      <c r="B185" s="168" t="s">
        <v>257</v>
      </c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</row>
    <row r="186" spans="1:15" ht="15" customHeight="1" x14ac:dyDescent="0.3">
      <c r="A186" s="106"/>
      <c r="B186" s="166" t="s">
        <v>199</v>
      </c>
      <c r="C186" s="114" t="s">
        <v>113</v>
      </c>
      <c r="D186" s="175">
        <v>2.2200000000000002</v>
      </c>
      <c r="E186" s="127" t="s">
        <v>661</v>
      </c>
      <c r="F186" s="106"/>
      <c r="G186" s="106"/>
      <c r="H186" s="106"/>
      <c r="I186" s="106"/>
      <c r="J186" s="106"/>
      <c r="K186" s="106"/>
      <c r="L186" s="106"/>
      <c r="M186" s="106"/>
      <c r="N186" s="106"/>
      <c r="O186" s="113" t="s">
        <v>667</v>
      </c>
    </row>
    <row r="187" spans="1:15" ht="15" customHeight="1" x14ac:dyDescent="0.3">
      <c r="A187" s="106"/>
      <c r="B187" s="156" t="s">
        <v>200</v>
      </c>
      <c r="C187" s="118" t="s">
        <v>111</v>
      </c>
      <c r="D187" s="131">
        <v>4.9700000000000001E-2</v>
      </c>
      <c r="E187" s="129" t="s">
        <v>668</v>
      </c>
      <c r="F187" s="106"/>
      <c r="G187" s="106"/>
      <c r="H187" s="106"/>
      <c r="I187" s="106"/>
      <c r="J187" s="106"/>
      <c r="K187" s="106"/>
      <c r="L187" s="106"/>
      <c r="M187" s="106"/>
      <c r="N187" s="106"/>
      <c r="O187" s="113" t="s">
        <v>669</v>
      </c>
    </row>
    <row r="188" spans="1:15" ht="15" customHeight="1" x14ac:dyDescent="0.3">
      <c r="A188" s="106"/>
      <c r="B188" s="156" t="s">
        <v>201</v>
      </c>
      <c r="C188" s="118" t="s">
        <v>111</v>
      </c>
      <c r="D188" s="131">
        <v>4.1399999999999999E-2</v>
      </c>
      <c r="E188" s="129" t="s">
        <v>670</v>
      </c>
      <c r="F188" s="106"/>
      <c r="G188" s="106"/>
      <c r="H188" s="106"/>
      <c r="I188" s="106"/>
      <c r="J188" s="106"/>
      <c r="K188" s="106"/>
      <c r="L188" s="106"/>
      <c r="M188" s="106"/>
      <c r="N188" s="106"/>
      <c r="O188" s="113" t="s">
        <v>671</v>
      </c>
    </row>
    <row r="189" spans="1:15" ht="15" customHeight="1" x14ac:dyDescent="0.3">
      <c r="A189" s="106"/>
      <c r="B189" s="156" t="s">
        <v>202</v>
      </c>
      <c r="C189" s="118" t="s">
        <v>111</v>
      </c>
      <c r="D189" s="131">
        <v>5.8999999999999997E-2</v>
      </c>
      <c r="E189" s="129" t="s">
        <v>668</v>
      </c>
      <c r="F189" s="106"/>
      <c r="G189" s="106"/>
      <c r="H189" s="106"/>
      <c r="I189" s="106"/>
      <c r="J189" s="106"/>
      <c r="K189" s="106"/>
      <c r="L189" s="106"/>
      <c r="M189" s="106"/>
      <c r="N189" s="106"/>
      <c r="O189" s="113" t="s">
        <v>672</v>
      </c>
    </row>
    <row r="190" spans="1:15" ht="15" customHeight="1" x14ac:dyDescent="0.3">
      <c r="A190" s="106"/>
      <c r="B190" s="156" t="s">
        <v>203</v>
      </c>
      <c r="C190" s="118" t="s">
        <v>204</v>
      </c>
      <c r="D190" s="135" t="s">
        <v>673</v>
      </c>
      <c r="E190" s="129" t="s">
        <v>674</v>
      </c>
      <c r="F190" s="106"/>
      <c r="G190" s="106"/>
      <c r="H190" s="106"/>
      <c r="I190" s="106"/>
      <c r="J190" s="106"/>
      <c r="K190" s="106"/>
      <c r="L190" s="106"/>
      <c r="M190" s="106"/>
      <c r="N190" s="106"/>
      <c r="O190" s="113" t="s">
        <v>675</v>
      </c>
    </row>
    <row r="191" spans="1:15" ht="15" customHeight="1" x14ac:dyDescent="0.3">
      <c r="A191" s="106"/>
      <c r="B191" s="156" t="s">
        <v>757</v>
      </c>
      <c r="C191" s="118" t="s">
        <v>113</v>
      </c>
      <c r="D191" s="269">
        <v>1.52</v>
      </c>
      <c r="E191" s="129" t="s">
        <v>758</v>
      </c>
      <c r="F191" s="106"/>
      <c r="G191" s="106"/>
      <c r="H191" s="106"/>
      <c r="I191" s="106"/>
      <c r="J191" s="106"/>
      <c r="K191" s="106"/>
      <c r="L191" s="106"/>
      <c r="M191" s="106"/>
      <c r="N191" s="106"/>
      <c r="O191" s="113" t="s">
        <v>759</v>
      </c>
    </row>
    <row r="192" spans="1:15" ht="15" customHeight="1" x14ac:dyDescent="0.3">
      <c r="A192" s="106"/>
      <c r="B192" s="156" t="s">
        <v>760</v>
      </c>
      <c r="C192" s="118" t="s">
        <v>111</v>
      </c>
      <c r="D192" s="131">
        <v>2.5899999999999999E-2</v>
      </c>
      <c r="E192" s="129" t="s">
        <v>758</v>
      </c>
      <c r="F192" s="106"/>
      <c r="G192" s="106"/>
      <c r="H192" s="106"/>
      <c r="I192" s="106"/>
      <c r="J192" s="106"/>
      <c r="K192" s="106"/>
      <c r="L192" s="106"/>
      <c r="M192" s="106"/>
      <c r="N192" s="106"/>
      <c r="O192" s="113" t="s">
        <v>759</v>
      </c>
    </row>
    <row r="193" spans="1:15" ht="15" customHeight="1" x14ac:dyDescent="0.3">
      <c r="A193" s="106"/>
      <c r="B193" s="155" t="s">
        <v>761</v>
      </c>
      <c r="C193" s="116" t="s">
        <v>111</v>
      </c>
      <c r="D193" s="130">
        <v>5.11E-2</v>
      </c>
      <c r="E193" s="128" t="s">
        <v>758</v>
      </c>
      <c r="F193" s="106"/>
      <c r="G193" s="106"/>
      <c r="H193" s="106"/>
      <c r="I193" s="106"/>
      <c r="J193" s="106"/>
      <c r="K193" s="106"/>
      <c r="L193" s="106"/>
      <c r="M193" s="106"/>
      <c r="N193" s="106"/>
      <c r="O193" s="113" t="s">
        <v>759</v>
      </c>
    </row>
    <row r="194" spans="1:15" ht="15" customHeight="1" x14ac:dyDescent="0.3">
      <c r="A194" s="106"/>
      <c r="B194" s="168" t="s">
        <v>258</v>
      </c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</row>
    <row r="195" spans="1:15" ht="15" customHeight="1" x14ac:dyDescent="0.3">
      <c r="A195" s="106"/>
      <c r="B195" s="166" t="s">
        <v>205</v>
      </c>
      <c r="C195" s="114" t="s">
        <v>111</v>
      </c>
      <c r="D195" s="176">
        <v>0.21</v>
      </c>
      <c r="E195" s="127"/>
      <c r="F195" s="106"/>
      <c r="G195" s="106"/>
      <c r="H195" s="106"/>
      <c r="I195" s="106"/>
      <c r="J195" s="106"/>
      <c r="K195" s="106"/>
      <c r="L195" s="106"/>
      <c r="M195" s="106"/>
      <c r="N195" s="106"/>
      <c r="O195" s="113"/>
    </row>
    <row r="196" spans="1:15" ht="15" customHeight="1" x14ac:dyDescent="0.3">
      <c r="A196" s="106"/>
      <c r="B196" s="155" t="s">
        <v>206</v>
      </c>
      <c r="C196" s="116" t="s">
        <v>111</v>
      </c>
      <c r="D196" s="130">
        <f>-M32/M31</f>
        <v>0.14752944996662637</v>
      </c>
      <c r="E196" s="128"/>
      <c r="F196" s="106"/>
      <c r="G196" s="106"/>
      <c r="H196" s="106"/>
      <c r="I196" s="106"/>
      <c r="J196" s="106"/>
      <c r="K196" s="106"/>
      <c r="L196" s="106"/>
      <c r="M196" s="106"/>
      <c r="N196" s="106"/>
      <c r="O196" s="113"/>
    </row>
    <row r="197" spans="1:15" ht="15" customHeight="1" x14ac:dyDescent="0.3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 spans="1:15" ht="15" customHeight="1" x14ac:dyDescent="0.3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 spans="1:15" ht="24" customHeight="1" x14ac:dyDescent="0.3">
      <c r="A199" s="106"/>
      <c r="B199" s="151" t="s">
        <v>229</v>
      </c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</row>
    <row r="200" spans="1:15" ht="15" customHeight="1" x14ac:dyDescent="0.3">
      <c r="A200" s="106"/>
      <c r="B200" s="147" t="s">
        <v>130</v>
      </c>
      <c r="C200" s="147" t="s">
        <v>207</v>
      </c>
      <c r="D200" s="144" t="s">
        <v>861</v>
      </c>
      <c r="E200" s="144" t="s">
        <v>862</v>
      </c>
      <c r="F200" s="144" t="s">
        <v>208</v>
      </c>
      <c r="G200" s="144" t="s">
        <v>209</v>
      </c>
      <c r="H200" s="144" t="s">
        <v>65</v>
      </c>
      <c r="I200" s="145"/>
      <c r="J200" s="144" t="s">
        <v>210</v>
      </c>
      <c r="K200" s="144" t="s">
        <v>211</v>
      </c>
      <c r="L200" s="144" t="s">
        <v>863</v>
      </c>
      <c r="M200" s="144" t="s">
        <v>864</v>
      </c>
      <c r="N200" s="146"/>
      <c r="O200" s="146" t="s">
        <v>679</v>
      </c>
    </row>
    <row r="201" spans="1:15" ht="15" customHeight="1" x14ac:dyDescent="0.3">
      <c r="A201" s="106"/>
      <c r="B201" s="141" t="s">
        <v>212</v>
      </c>
      <c r="C201" s="141" t="s">
        <v>220</v>
      </c>
      <c r="D201" s="284">
        <v>248500</v>
      </c>
      <c r="E201" s="285">
        <v>6387.8</v>
      </c>
      <c r="F201" s="286">
        <f t="shared" ref="F201:F208" si="20">D201*E201</f>
        <v>1587368300</v>
      </c>
      <c r="G201" s="142">
        <v>-167590000</v>
      </c>
      <c r="H201" s="286">
        <f t="shared" ref="H201:H208" si="21">F201+G201</f>
        <v>1419778300</v>
      </c>
      <c r="I201" s="142"/>
      <c r="J201" s="142">
        <v>485270000</v>
      </c>
      <c r="K201" s="142">
        <v>227120000</v>
      </c>
      <c r="L201" s="284">
        <v>20372.849999999999</v>
      </c>
      <c r="M201" s="142">
        <v>579310000</v>
      </c>
      <c r="N201" s="106"/>
      <c r="O201" s="113" t="s">
        <v>865</v>
      </c>
    </row>
    <row r="202" spans="1:15" ht="15" customHeight="1" x14ac:dyDescent="0.3">
      <c r="A202" s="106"/>
      <c r="B202" s="135" t="s">
        <v>213</v>
      </c>
      <c r="C202" s="135" t="s">
        <v>221</v>
      </c>
      <c r="D202" s="287">
        <v>1690000</v>
      </c>
      <c r="E202" s="288">
        <v>728.87</v>
      </c>
      <c r="F202" s="289">
        <f t="shared" si="20"/>
        <v>1231790300</v>
      </c>
      <c r="G202" s="122">
        <v>-66870000</v>
      </c>
      <c r="H202" s="289">
        <f t="shared" si="21"/>
        <v>1164920300</v>
      </c>
      <c r="I202" s="122"/>
      <c r="J202" s="122">
        <v>189170000</v>
      </c>
      <c r="K202" s="122">
        <v>143600000</v>
      </c>
      <c r="L202" s="287">
        <v>227588.3</v>
      </c>
      <c r="M202" s="122">
        <v>262690000</v>
      </c>
      <c r="N202" s="106"/>
      <c r="O202" s="113" t="s">
        <v>866</v>
      </c>
    </row>
    <row r="203" spans="1:15" ht="15" customHeight="1" x14ac:dyDescent="0.3">
      <c r="A203" s="106"/>
      <c r="B203" s="135" t="s">
        <v>214</v>
      </c>
      <c r="C203" s="135" t="s">
        <v>222</v>
      </c>
      <c r="D203" s="287">
        <v>411.96</v>
      </c>
      <c r="E203" s="288">
        <v>374.32</v>
      </c>
      <c r="F203" s="289">
        <f t="shared" si="20"/>
        <v>154204.86719999998</v>
      </c>
      <c r="G203" s="122">
        <v>-388</v>
      </c>
      <c r="H203" s="289">
        <f t="shared" si="21"/>
        <v>153816.86719999998</v>
      </c>
      <c r="I203" s="122"/>
      <c r="J203" s="122">
        <v>12920</v>
      </c>
      <c r="K203" s="122">
        <v>5000</v>
      </c>
      <c r="L203" s="287">
        <v>24.28</v>
      </c>
      <c r="M203" s="122">
        <v>8860</v>
      </c>
      <c r="N203" s="106"/>
      <c r="O203" s="113" t="s">
        <v>867</v>
      </c>
    </row>
    <row r="204" spans="1:15" ht="15" customHeight="1" x14ac:dyDescent="0.3">
      <c r="B204" s="135" t="s">
        <v>215</v>
      </c>
      <c r="C204" s="135" t="s">
        <v>223</v>
      </c>
      <c r="D204" s="287">
        <v>1530.9</v>
      </c>
      <c r="E204" s="288">
        <v>146.41999999999999</v>
      </c>
      <c r="F204" s="289">
        <f t="shared" si="20"/>
        <v>224154.378</v>
      </c>
      <c r="G204" s="122">
        <v>-6340</v>
      </c>
      <c r="H204" s="289">
        <f t="shared" si="21"/>
        <v>217814.378</v>
      </c>
      <c r="I204" s="122"/>
      <c r="J204" s="122">
        <v>20250</v>
      </c>
      <c r="K204" s="122">
        <v>12620</v>
      </c>
      <c r="L204" s="287">
        <v>73.760000000000005</v>
      </c>
      <c r="M204" s="122">
        <v>15740</v>
      </c>
      <c r="N204" s="106"/>
      <c r="O204" s="113" t="s">
        <v>868</v>
      </c>
    </row>
    <row r="205" spans="1:15" ht="15" customHeight="1" x14ac:dyDescent="0.3">
      <c r="B205" s="135" t="s">
        <v>216</v>
      </c>
      <c r="C205" s="135" t="s">
        <v>224</v>
      </c>
      <c r="D205" s="287">
        <v>17250</v>
      </c>
      <c r="E205" s="288">
        <v>1644.1</v>
      </c>
      <c r="F205" s="289">
        <f t="shared" si="20"/>
        <v>28360725</v>
      </c>
      <c r="G205" s="122">
        <v>42070</v>
      </c>
      <c r="H205" s="289">
        <f t="shared" si="21"/>
        <v>28402795</v>
      </c>
      <c r="I205" s="122"/>
      <c r="J205" s="122">
        <v>3760000</v>
      </c>
      <c r="K205" s="122">
        <v>2370000</v>
      </c>
      <c r="L205" s="287">
        <v>832.23</v>
      </c>
      <c r="M205" s="122">
        <v>2400000</v>
      </c>
      <c r="N205" s="106"/>
      <c r="O205" s="113" t="s">
        <v>869</v>
      </c>
    </row>
    <row r="206" spans="1:15" ht="15" customHeight="1" x14ac:dyDescent="0.3">
      <c r="B206" s="135" t="s">
        <v>217</v>
      </c>
      <c r="C206" s="135" t="s">
        <v>225</v>
      </c>
      <c r="D206" s="287">
        <v>771.81</v>
      </c>
      <c r="E206" s="288">
        <v>227.39</v>
      </c>
      <c r="F206" s="289">
        <f t="shared" si="20"/>
        <v>175501.87589999998</v>
      </c>
      <c r="G206" s="122">
        <v>2190</v>
      </c>
      <c r="H206" s="289">
        <f t="shared" si="21"/>
        <v>177691.87589999998</v>
      </c>
      <c r="I206" s="122"/>
      <c r="J206" s="122">
        <v>12200</v>
      </c>
      <c r="K206" s="122">
        <v>4500</v>
      </c>
      <c r="L206" s="287">
        <v>13.9</v>
      </c>
      <c r="M206" s="122">
        <v>2170</v>
      </c>
      <c r="N206" s="106"/>
      <c r="O206" s="113" t="s">
        <v>868</v>
      </c>
    </row>
    <row r="207" spans="1:15" ht="15" customHeight="1" x14ac:dyDescent="0.3">
      <c r="B207" s="135" t="s">
        <v>218</v>
      </c>
      <c r="C207" s="135" t="s">
        <v>226</v>
      </c>
      <c r="D207" s="287">
        <v>97.14</v>
      </c>
      <c r="E207" s="288">
        <v>5250</v>
      </c>
      <c r="F207" s="289">
        <f t="shared" si="20"/>
        <v>509985</v>
      </c>
      <c r="G207" s="122">
        <v>20560</v>
      </c>
      <c r="H207" s="289">
        <f t="shared" si="21"/>
        <v>530545</v>
      </c>
      <c r="I207" s="122"/>
      <c r="J207" s="122">
        <v>57030</v>
      </c>
      <c r="K207" s="122">
        <v>16840</v>
      </c>
      <c r="L207" s="287">
        <v>-2.2999999999999998</v>
      </c>
      <c r="M207" s="122">
        <v>103140</v>
      </c>
      <c r="N207" s="106"/>
      <c r="O207" s="113" t="s">
        <v>870</v>
      </c>
    </row>
    <row r="208" spans="1:15" ht="15" customHeight="1" x14ac:dyDescent="0.3">
      <c r="B208" s="134" t="s">
        <v>219</v>
      </c>
      <c r="C208" s="134" t="s">
        <v>227</v>
      </c>
      <c r="D208" s="290">
        <v>263.43</v>
      </c>
      <c r="E208" s="291">
        <v>913.25</v>
      </c>
      <c r="F208" s="140">
        <f t="shared" si="20"/>
        <v>240577.44750000001</v>
      </c>
      <c r="G208" s="121">
        <v>7050</v>
      </c>
      <c r="H208" s="140">
        <f t="shared" si="21"/>
        <v>247627.44750000001</v>
      </c>
      <c r="I208" s="121"/>
      <c r="J208" s="121">
        <v>19450</v>
      </c>
      <c r="K208" s="121">
        <v>9520</v>
      </c>
      <c r="L208" s="290">
        <v>6.58</v>
      </c>
      <c r="M208" s="121">
        <v>18010</v>
      </c>
      <c r="N208" s="106"/>
      <c r="O208" s="113" t="s">
        <v>868</v>
      </c>
    </row>
    <row r="209" spans="2:15" ht="15" customHeight="1" x14ac:dyDescent="0.3"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 spans="2:15" ht="15" customHeight="1" x14ac:dyDescent="0.3">
      <c r="B210" s="136" t="s">
        <v>871</v>
      </c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 spans="2:15" ht="15" customHeight="1" x14ac:dyDescent="0.3"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 spans="2:15" ht="15" customHeight="1" x14ac:dyDescent="0.3">
      <c r="B212" s="151" t="s">
        <v>872</v>
      </c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 spans="2:15" x14ac:dyDescent="0.3">
      <c r="B213" s="147" t="s">
        <v>873</v>
      </c>
      <c r="C213" s="147" t="s">
        <v>874</v>
      </c>
      <c r="D213" s="144" t="s">
        <v>875</v>
      </c>
      <c r="E213" s="144"/>
      <c r="F213" s="144"/>
      <c r="G213" s="144"/>
      <c r="H213" s="144"/>
      <c r="I213" s="145"/>
      <c r="J213" s="144"/>
      <c r="K213" s="144"/>
      <c r="L213" s="144"/>
      <c r="M213" s="144"/>
      <c r="N213" s="146"/>
      <c r="O213" s="146" t="s">
        <v>679</v>
      </c>
    </row>
    <row r="214" spans="2:15" x14ac:dyDescent="0.3">
      <c r="B214" s="36" t="s">
        <v>876</v>
      </c>
      <c r="C214" s="36" t="s">
        <v>877</v>
      </c>
      <c r="D214" s="284">
        <v>1361.84</v>
      </c>
      <c r="E214" s="285"/>
      <c r="F214" s="286"/>
      <c r="G214" s="142"/>
      <c r="H214" s="286"/>
      <c r="I214" s="142"/>
      <c r="J214" s="142"/>
      <c r="K214" s="142"/>
      <c r="L214" s="284"/>
      <c r="M214" s="142"/>
      <c r="N214" s="106"/>
      <c r="O214" s="113" t="s">
        <v>878</v>
      </c>
    </row>
    <row r="215" spans="2:15" x14ac:dyDescent="0.3">
      <c r="B215" s="36" t="s">
        <v>879</v>
      </c>
      <c r="C215" s="36" t="s">
        <v>880</v>
      </c>
      <c r="D215" s="284">
        <v>155.11000000000001</v>
      </c>
      <c r="E215" s="285"/>
      <c r="F215" s="286"/>
      <c r="G215" s="142"/>
      <c r="H215" s="286"/>
      <c r="I215" s="142"/>
      <c r="J215" s="142"/>
      <c r="K215" s="142"/>
      <c r="L215" s="284"/>
      <c r="M215" s="142"/>
      <c r="N215" s="106"/>
      <c r="O215" s="113" t="s">
        <v>881</v>
      </c>
    </row>
    <row r="216" spans="2:15" x14ac:dyDescent="0.3">
      <c r="B216" s="36" t="s">
        <v>882</v>
      </c>
      <c r="C216" s="36" t="s">
        <v>136</v>
      </c>
      <c r="D216" s="292">
        <v>1</v>
      </c>
      <c r="E216" s="285"/>
      <c r="F216" s="286"/>
      <c r="G216" s="142"/>
      <c r="H216" s="286"/>
      <c r="I216" s="142"/>
      <c r="J216" s="142"/>
      <c r="K216" s="142"/>
      <c r="L216" s="284"/>
      <c r="M216" s="142"/>
      <c r="N216" s="106"/>
      <c r="O216" s="113" t="s">
        <v>883</v>
      </c>
    </row>
    <row r="217" spans="2:15" x14ac:dyDescent="0.3">
      <c r="D217" s="43"/>
    </row>
    <row r="218" spans="2:15" x14ac:dyDescent="0.3">
      <c r="D218" s="43"/>
    </row>
    <row r="219" spans="2:15" x14ac:dyDescent="0.3">
      <c r="C219" s="43"/>
      <c r="D219" s="43"/>
    </row>
    <row r="220" spans="2:15" x14ac:dyDescent="0.3">
      <c r="C220" s="43"/>
      <c r="D220" s="43"/>
    </row>
    <row r="221" spans="2:15" x14ac:dyDescent="0.3">
      <c r="C221" s="43"/>
      <c r="D221" s="43"/>
    </row>
    <row r="222" spans="2:15" x14ac:dyDescent="0.3">
      <c r="C222" s="43"/>
      <c r="D222" s="4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C1E-B941-4BF7-B99F-916B4774B8D5}">
  <sheetPr>
    <tabColor theme="2" tint="-0.749992370372631"/>
  </sheetPr>
  <dimension ref="A2:P93"/>
  <sheetViews>
    <sheetView showGridLines="0" topLeftCell="A61" zoomScale="130" zoomScaleNormal="130" workbookViewId="0">
      <selection activeCell="D56" sqref="D56"/>
    </sheetView>
  </sheetViews>
  <sheetFormatPr defaultRowHeight="14.4" x14ac:dyDescent="0.3"/>
  <cols>
    <col min="1" max="1" width="2.5546875" customWidth="1"/>
    <col min="2" max="2" width="58.109375" customWidth="1"/>
    <col min="3" max="3" width="9.6640625" customWidth="1"/>
    <col min="4" max="8" width="12.21875" customWidth="1"/>
    <col min="9" max="9" width="2.5546875" customWidth="1"/>
    <col min="10" max="12" width="12.21875" customWidth="1"/>
    <col min="13" max="13" width="13.6640625" customWidth="1"/>
    <col min="14" max="14" width="2.5546875" customWidth="1"/>
    <col min="15" max="15" width="33.33203125" customWidth="1"/>
  </cols>
  <sheetData>
    <row r="2" spans="1:15" ht="25.8" x14ac:dyDescent="0.5">
      <c r="A2" s="107"/>
      <c r="B2" s="178" t="str">
        <f>Cover!B2</f>
        <v>MICRON TECHNOLOGY, INC. (NASDAQ: MU)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80"/>
      <c r="N2" s="180"/>
      <c r="O2" s="180"/>
    </row>
    <row r="3" spans="1:15" ht="18" x14ac:dyDescent="0.35">
      <c r="A3" s="107"/>
      <c r="B3" s="181" t="s">
        <v>339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  <c r="N3" s="180"/>
      <c r="O3" s="180"/>
    </row>
    <row r="4" spans="1:15" x14ac:dyDescent="0.3">
      <c r="A4" s="108"/>
      <c r="B4" s="182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4"/>
      <c r="N4" s="184"/>
      <c r="O4" s="184"/>
    </row>
    <row r="5" spans="1:15" x14ac:dyDescent="0.3">
      <c r="A5" s="106"/>
      <c r="B5" s="106"/>
      <c r="C5" s="114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ht="24" customHeight="1" x14ac:dyDescent="0.3">
      <c r="A6" s="106"/>
      <c r="B6" s="151" t="s">
        <v>340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</row>
    <row r="7" spans="1:15" ht="15" customHeight="1" x14ac:dyDescent="0.3">
      <c r="A7" s="106"/>
      <c r="B7" s="143" t="s">
        <v>141</v>
      </c>
      <c r="C7" s="143" t="s">
        <v>107</v>
      </c>
      <c r="D7" s="144" t="s">
        <v>143</v>
      </c>
      <c r="E7" s="144" t="s">
        <v>144</v>
      </c>
      <c r="F7" s="144" t="s">
        <v>145</v>
      </c>
      <c r="G7" s="144" t="s">
        <v>146</v>
      </c>
      <c r="H7" s="144" t="s">
        <v>341</v>
      </c>
      <c r="I7" s="145"/>
      <c r="J7" s="144" t="s">
        <v>342</v>
      </c>
      <c r="K7" s="144" t="s">
        <v>343</v>
      </c>
      <c r="L7" s="144" t="s">
        <v>344</v>
      </c>
      <c r="M7" s="144"/>
      <c r="N7" s="146"/>
      <c r="O7" s="146" t="s">
        <v>345</v>
      </c>
    </row>
    <row r="8" spans="1:15" ht="15" customHeight="1" x14ac:dyDescent="0.3">
      <c r="A8" s="106"/>
      <c r="B8" s="166" t="s">
        <v>346</v>
      </c>
      <c r="C8" s="114" t="s">
        <v>347</v>
      </c>
      <c r="D8" s="121">
        <v>365</v>
      </c>
      <c r="E8" s="121">
        <v>365</v>
      </c>
      <c r="F8" s="121">
        <v>365</v>
      </c>
      <c r="G8" s="121">
        <v>365</v>
      </c>
      <c r="H8" s="121">
        <v>273</v>
      </c>
      <c r="I8" s="114"/>
      <c r="J8" s="106"/>
      <c r="K8" s="106"/>
      <c r="L8" s="106"/>
      <c r="M8" s="106"/>
      <c r="N8" s="106"/>
      <c r="O8" s="113" t="s">
        <v>348</v>
      </c>
    </row>
    <row r="9" spans="1:15" x14ac:dyDescent="0.3">
      <c r="A9" s="106"/>
      <c r="B9" s="106"/>
      <c r="C9" s="114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3">
      <c r="A10" s="106"/>
      <c r="B10" s="106"/>
      <c r="C10" s="114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ht="24" customHeight="1" x14ac:dyDescent="0.3">
      <c r="A11" s="106"/>
      <c r="B11" s="151" t="s">
        <v>349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</row>
    <row r="12" spans="1:15" ht="15" customHeight="1" x14ac:dyDescent="0.3">
      <c r="A12" s="114"/>
      <c r="B12" s="143" t="s">
        <v>141</v>
      </c>
      <c r="C12" s="143" t="s">
        <v>107</v>
      </c>
      <c r="D12" s="144" t="s">
        <v>143</v>
      </c>
      <c r="E12" s="144" t="s">
        <v>144</v>
      </c>
      <c r="F12" s="144" t="s">
        <v>145</v>
      </c>
      <c r="G12" s="144" t="s">
        <v>146</v>
      </c>
      <c r="H12" s="144" t="s">
        <v>341</v>
      </c>
      <c r="I12" s="145"/>
      <c r="J12" s="144" t="s">
        <v>342</v>
      </c>
      <c r="K12" s="144" t="s">
        <v>343</v>
      </c>
      <c r="L12" s="144" t="s">
        <v>344</v>
      </c>
      <c r="M12" s="144"/>
      <c r="N12" s="143"/>
      <c r="O12" s="143" t="s">
        <v>345</v>
      </c>
    </row>
    <row r="13" spans="1:15" ht="15" customHeight="1" x14ac:dyDescent="0.3">
      <c r="A13" s="106"/>
      <c r="B13" s="166" t="s">
        <v>89</v>
      </c>
      <c r="C13" s="114" t="s">
        <v>148</v>
      </c>
      <c r="D13" s="115">
        <f>'Raw Data'!E18</f>
        <v>30758</v>
      </c>
      <c r="E13" s="115">
        <f>'Raw Data'!F18</f>
        <v>15540</v>
      </c>
      <c r="F13" s="115">
        <f>'Raw Data'!G18</f>
        <v>25111</v>
      </c>
      <c r="G13" s="115">
        <f>'Raw Data'!H18</f>
        <v>37378</v>
      </c>
      <c r="H13" s="115">
        <f>'Raw Data'!M18</f>
        <v>78959</v>
      </c>
      <c r="I13" s="114"/>
      <c r="J13" s="106"/>
      <c r="K13" s="106"/>
      <c r="L13" s="106"/>
      <c r="M13" s="106"/>
      <c r="N13" s="106"/>
      <c r="O13" s="113" t="s">
        <v>350</v>
      </c>
    </row>
    <row r="14" spans="1:15" ht="15" customHeight="1" x14ac:dyDescent="0.3">
      <c r="A14" s="106"/>
      <c r="B14" s="166" t="s">
        <v>351</v>
      </c>
      <c r="C14" s="114" t="s">
        <v>111</v>
      </c>
      <c r="D14" s="171">
        <f>D13/'Raw Data'!D18 - 1</f>
        <v>0.11019671539433307</v>
      </c>
      <c r="E14" s="171">
        <f>E13/D13 - 1</f>
        <v>-0.4947655894401457</v>
      </c>
      <c r="F14" s="171">
        <f t="shared" ref="F14:G14" si="0">F13/E13 - 1</f>
        <v>0.61589446589446584</v>
      </c>
      <c r="G14" s="171">
        <f t="shared" si="0"/>
        <v>0.48851101111066852</v>
      </c>
      <c r="H14" s="171"/>
      <c r="I14" s="114"/>
      <c r="J14" s="106"/>
      <c r="K14" s="106"/>
      <c r="L14" s="106"/>
      <c r="M14" s="106"/>
      <c r="N14" s="106"/>
      <c r="O14" s="113" t="s">
        <v>352</v>
      </c>
    </row>
    <row r="15" spans="1:15" ht="15" customHeight="1" x14ac:dyDescent="0.3">
      <c r="A15" s="106"/>
      <c r="B15" s="188" t="s">
        <v>353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</row>
    <row r="16" spans="1:15" ht="15" customHeight="1" x14ac:dyDescent="0.3">
      <c r="A16" s="106"/>
      <c r="B16" s="166" t="s">
        <v>354</v>
      </c>
      <c r="C16" s="114" t="s">
        <v>148</v>
      </c>
      <c r="D16" s="115">
        <f>'Raw Data'!E159</f>
        <v>22386</v>
      </c>
      <c r="E16" s="115">
        <f>'Raw Data'!F159</f>
        <v>10978</v>
      </c>
      <c r="F16" s="115">
        <f>'Raw Data'!G159</f>
        <v>17603</v>
      </c>
      <c r="G16" s="115">
        <f>'Raw Data'!H159</f>
        <v>28578</v>
      </c>
      <c r="H16" s="115">
        <f>'Raw Data'!M159</f>
        <v>60908</v>
      </c>
      <c r="I16" s="114"/>
      <c r="J16" s="106"/>
      <c r="K16" s="106"/>
      <c r="L16" s="106"/>
      <c r="M16" s="106"/>
      <c r="N16" s="106"/>
      <c r="O16" s="113" t="s">
        <v>355</v>
      </c>
    </row>
    <row r="17" spans="1:15" ht="15" customHeight="1" x14ac:dyDescent="0.3">
      <c r="A17" s="106"/>
      <c r="B17" s="166" t="s">
        <v>356</v>
      </c>
      <c r="C17" s="114" t="s">
        <v>148</v>
      </c>
      <c r="D17" s="115">
        <f>'Raw Data'!E160</f>
        <v>7811</v>
      </c>
      <c r="E17" s="115">
        <f>'Raw Data'!F160</f>
        <v>4206</v>
      </c>
      <c r="F17" s="115">
        <f>'Raw Data'!G160</f>
        <v>7227</v>
      </c>
      <c r="G17" s="115">
        <f>'Raw Data'!H160</f>
        <v>8503</v>
      </c>
      <c r="H17" s="115">
        <f>'Raw Data'!M160</f>
        <v>17683</v>
      </c>
      <c r="I17" s="114"/>
      <c r="J17" s="106"/>
      <c r="K17" s="106"/>
      <c r="L17" s="106"/>
      <c r="M17" s="106"/>
      <c r="N17" s="106"/>
      <c r="O17" s="113" t="s">
        <v>357</v>
      </c>
    </row>
    <row r="18" spans="1:15" ht="15" customHeight="1" x14ac:dyDescent="0.3">
      <c r="A18" s="106"/>
      <c r="B18" s="166" t="s">
        <v>358</v>
      </c>
      <c r="C18" s="114" t="s">
        <v>111</v>
      </c>
      <c r="D18" s="171">
        <f>D16/'Raw Data'!E162</f>
        <v>0.72781065088757402</v>
      </c>
      <c r="E18" s="171">
        <f>E16/'Raw Data'!F162</f>
        <v>0.70643500643500645</v>
      </c>
      <c r="F18" s="171">
        <f>F16/'Raw Data'!G162</f>
        <v>0.70100752658197607</v>
      </c>
      <c r="G18" s="171">
        <f>G16/'Raw Data'!H162</f>
        <v>0.76456739258387285</v>
      </c>
      <c r="H18" s="171">
        <f>H16/'Raw Data'!M162</f>
        <v>0.77138768221482035</v>
      </c>
      <c r="I18" s="114"/>
      <c r="J18" s="106"/>
      <c r="K18" s="106"/>
      <c r="L18" s="106"/>
      <c r="M18" s="106"/>
      <c r="N18" s="106"/>
      <c r="O18" s="113" t="s">
        <v>359</v>
      </c>
    </row>
    <row r="19" spans="1:15" ht="15" customHeight="1" x14ac:dyDescent="0.3">
      <c r="A19" s="106"/>
      <c r="B19" s="166" t="s">
        <v>360</v>
      </c>
      <c r="C19" s="114" t="s">
        <v>111</v>
      </c>
      <c r="D19" s="171">
        <f>D17/'Raw Data'!E162</f>
        <v>0.25395019182001433</v>
      </c>
      <c r="E19" s="171">
        <f>E17/'Raw Data'!F162</f>
        <v>0.27065637065637066</v>
      </c>
      <c r="F19" s="171">
        <f>F17/'Raw Data'!G162</f>
        <v>0.28780215841663015</v>
      </c>
      <c r="G19" s="171">
        <f>G17/'Raw Data'!H162</f>
        <v>0.22748675691583284</v>
      </c>
      <c r="H19" s="171">
        <f>H17/'Raw Data'!M162</f>
        <v>0.22395167112045491</v>
      </c>
      <c r="I19" s="114"/>
      <c r="J19" s="106"/>
      <c r="K19" s="106"/>
      <c r="L19" s="106"/>
      <c r="M19" s="106"/>
      <c r="N19" s="106"/>
      <c r="O19" s="113" t="s">
        <v>361</v>
      </c>
    </row>
    <row r="20" spans="1:15" ht="15" customHeight="1" x14ac:dyDescent="0.3">
      <c r="A20" s="106"/>
      <c r="B20" s="166" t="s">
        <v>362</v>
      </c>
      <c r="C20" s="114" t="s">
        <v>111</v>
      </c>
      <c r="D20" s="171">
        <f>D16/'Raw Data'!D159 - 1</f>
        <v>0.11712161285493283</v>
      </c>
      <c r="E20" s="171">
        <f>E16/'Raw Data'!E159 - 1</f>
        <v>-0.5096042169212901</v>
      </c>
      <c r="F20" s="171">
        <f>F16/'Raw Data'!F159 - 1</f>
        <v>0.60347968664601925</v>
      </c>
      <c r="G20" s="171">
        <f>G16/'Raw Data'!G159 - 1</f>
        <v>0.62347327160143151</v>
      </c>
      <c r="H20" s="171"/>
      <c r="I20" s="114"/>
      <c r="J20" s="106"/>
      <c r="K20" s="106"/>
      <c r="L20" s="106"/>
      <c r="M20" s="106"/>
      <c r="N20" s="106"/>
      <c r="O20" s="113" t="s">
        <v>363</v>
      </c>
    </row>
    <row r="21" spans="1:15" ht="15" customHeight="1" x14ac:dyDescent="0.3">
      <c r="A21" s="106"/>
      <c r="B21" s="166" t="s">
        <v>364</v>
      </c>
      <c r="C21" s="114" t="s">
        <v>111</v>
      </c>
      <c r="D21" s="171">
        <f>D17/'Raw Data'!D160 - 1</f>
        <v>0.11474240045668616</v>
      </c>
      <c r="E21" s="171">
        <f>E17/'Raw Data'!E160 - 1</f>
        <v>-0.46152861349379082</v>
      </c>
      <c r="F21" s="171">
        <f>F17/'Raw Data'!F160 - 1</f>
        <v>0.71825962910128394</v>
      </c>
      <c r="G21" s="171">
        <f>G17/'Raw Data'!G160 - 1</f>
        <v>0.17656012176560121</v>
      </c>
      <c r="H21" s="171"/>
      <c r="I21" s="114"/>
      <c r="J21" s="106"/>
      <c r="K21" s="106"/>
      <c r="L21" s="106"/>
      <c r="M21" s="106"/>
      <c r="N21" s="106"/>
      <c r="O21" s="113" t="s">
        <v>365</v>
      </c>
    </row>
    <row r="22" spans="1:15" ht="15" customHeight="1" x14ac:dyDescent="0.3">
      <c r="A22" s="106"/>
      <c r="B22" s="188" t="s">
        <v>253</v>
      </c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</row>
    <row r="23" spans="1:15" ht="15" customHeight="1" x14ac:dyDescent="0.3">
      <c r="A23" s="106"/>
      <c r="B23" s="166" t="s">
        <v>183</v>
      </c>
      <c r="C23" s="114" t="s">
        <v>111</v>
      </c>
      <c r="D23" s="171">
        <f>'Raw Data'!E164</f>
        <v>0.11</v>
      </c>
      <c r="E23" s="171">
        <f>'Raw Data'!F164</f>
        <v>-0.08</v>
      </c>
      <c r="F23" s="171">
        <f>'Raw Data'!G164</f>
        <v>0.45</v>
      </c>
      <c r="G23" s="171">
        <f>'Raw Data'!H164</f>
        <v>0.15</v>
      </c>
      <c r="H23" s="171">
        <f>'Raw Data'!M164</f>
        <v>0.3</v>
      </c>
      <c r="I23" s="114"/>
      <c r="J23" s="106"/>
      <c r="K23" s="106"/>
      <c r="L23" s="106"/>
      <c r="M23" s="106"/>
      <c r="N23" s="106"/>
      <c r="O23" s="113" t="s">
        <v>366</v>
      </c>
    </row>
    <row r="24" spans="1:15" ht="15" customHeight="1" x14ac:dyDescent="0.3">
      <c r="A24" s="106"/>
      <c r="B24" s="166" t="s">
        <v>184</v>
      </c>
      <c r="C24" s="114" t="s">
        <v>111</v>
      </c>
      <c r="D24" s="171">
        <f>'Raw Data'!E165</f>
        <v>0</v>
      </c>
      <c r="E24" s="171">
        <f>'Raw Data'!F165</f>
        <v>-0.48</v>
      </c>
      <c r="F24" s="171">
        <f>'Raw Data'!G165</f>
        <v>0.12</v>
      </c>
      <c r="G24" s="171">
        <f>'Raw Data'!H165</f>
        <v>0.42</v>
      </c>
      <c r="H24" s="171">
        <f>'Raw Data'!M165</f>
        <v>1.4</v>
      </c>
      <c r="I24" s="114"/>
      <c r="J24" s="106"/>
      <c r="K24" s="106"/>
      <c r="L24" s="106"/>
      <c r="M24" s="106"/>
      <c r="N24" s="106"/>
      <c r="O24" s="113" t="s">
        <v>367</v>
      </c>
    </row>
    <row r="25" spans="1:15" ht="15" customHeight="1" x14ac:dyDescent="0.3">
      <c r="A25" s="106"/>
      <c r="B25" s="166" t="s">
        <v>185</v>
      </c>
      <c r="C25" s="114" t="s">
        <v>111</v>
      </c>
      <c r="D25" s="171">
        <f>'Raw Data'!E166</f>
        <v>0.08</v>
      </c>
      <c r="E25" s="171">
        <f>'Raw Data'!F166</f>
        <v>0.08</v>
      </c>
      <c r="F25" s="171">
        <f>'Raw Data'!G166</f>
        <v>0.32</v>
      </c>
      <c r="G25" s="171">
        <f>'Raw Data'!H166</f>
        <v>0.18</v>
      </c>
      <c r="H25" s="171">
        <f>'Raw Data'!M166</f>
        <v>0.22</v>
      </c>
      <c r="I25" s="114"/>
      <c r="J25" s="106"/>
      <c r="K25" s="106"/>
      <c r="L25" s="106"/>
      <c r="M25" s="106"/>
      <c r="N25" s="106"/>
      <c r="O25" s="113" t="s">
        <v>368</v>
      </c>
    </row>
    <row r="26" spans="1:15" ht="15" customHeight="1" x14ac:dyDescent="0.3">
      <c r="A26" s="106"/>
      <c r="B26" s="166" t="s">
        <v>186</v>
      </c>
      <c r="C26" s="114" t="s">
        <v>111</v>
      </c>
      <c r="D26" s="171">
        <f>'Raw Data'!E167</f>
        <v>0.02</v>
      </c>
      <c r="E26" s="171">
        <f>'Raw Data'!F167</f>
        <v>-0.52</v>
      </c>
      <c r="F26" s="171">
        <f>'Raw Data'!G167</f>
        <v>0.32</v>
      </c>
      <c r="G26" s="171">
        <f>'Raw Data'!H167</f>
        <v>0</v>
      </c>
      <c r="H26" s="171">
        <f>'Raw Data'!M167</f>
        <v>1.3</v>
      </c>
      <c r="I26" s="114"/>
      <c r="J26" s="106"/>
      <c r="K26" s="106"/>
      <c r="L26" s="106"/>
      <c r="M26" s="106"/>
      <c r="N26" s="106"/>
      <c r="O26" s="113" t="s">
        <v>369</v>
      </c>
    </row>
    <row r="27" spans="1:15" ht="15" customHeight="1" x14ac:dyDescent="0.3">
      <c r="A27" s="106"/>
      <c r="B27" s="166" t="s">
        <v>370</v>
      </c>
      <c r="C27" s="114" t="s">
        <v>111</v>
      </c>
      <c r="D27" s="171">
        <f>(1+D23)*(1+D24)-1</f>
        <v>0.1100000000000001</v>
      </c>
      <c r="E27" s="171">
        <f>(1+E23)*(1+E24)-1</f>
        <v>-0.52159999999999995</v>
      </c>
      <c r="F27" s="171">
        <f>(1+F23)*(1+F24)-1</f>
        <v>0.62400000000000011</v>
      </c>
      <c r="G27" s="171">
        <f>(1+G23)*(1+G24)-1</f>
        <v>0.63299999999999979</v>
      </c>
      <c r="H27" s="171">
        <f>(1+H23)*(1+H24)-1</f>
        <v>2.12</v>
      </c>
      <c r="I27" s="114"/>
      <c r="J27" s="106"/>
      <c r="K27" s="106"/>
      <c r="L27" s="106"/>
      <c r="M27" s="106"/>
      <c r="N27" s="106"/>
      <c r="O27" s="113" t="s">
        <v>371</v>
      </c>
    </row>
    <row r="28" spans="1:15" x14ac:dyDescent="0.3">
      <c r="A28" s="106"/>
      <c r="B28" s="106"/>
      <c r="C28" s="114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</row>
    <row r="29" spans="1:15" x14ac:dyDescent="0.3">
      <c r="A29" s="106"/>
      <c r="B29" s="106"/>
      <c r="C29" s="114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</row>
    <row r="30" spans="1:15" ht="24" customHeight="1" x14ac:dyDescent="0.3">
      <c r="A30" s="106"/>
      <c r="B30" s="151" t="s">
        <v>372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</row>
    <row r="31" spans="1:15" ht="15" customHeight="1" x14ac:dyDescent="0.3">
      <c r="A31" s="106"/>
      <c r="B31" s="143" t="s">
        <v>141</v>
      </c>
      <c r="C31" s="143" t="s">
        <v>107</v>
      </c>
      <c r="D31" s="144" t="s">
        <v>143</v>
      </c>
      <c r="E31" s="144" t="s">
        <v>144</v>
      </c>
      <c r="F31" s="144" t="s">
        <v>145</v>
      </c>
      <c r="G31" s="144" t="s">
        <v>146</v>
      </c>
      <c r="H31" s="144" t="s">
        <v>341</v>
      </c>
      <c r="I31" s="145"/>
      <c r="J31" s="144" t="s">
        <v>342</v>
      </c>
      <c r="K31" s="144" t="s">
        <v>343</v>
      </c>
      <c r="L31" s="144" t="s">
        <v>344</v>
      </c>
      <c r="M31" s="144"/>
      <c r="N31" s="143"/>
      <c r="O31" s="143" t="s">
        <v>345</v>
      </c>
    </row>
    <row r="32" spans="1:15" ht="15" customHeight="1" x14ac:dyDescent="0.3">
      <c r="A32" s="106"/>
      <c r="B32" s="166" t="s">
        <v>373</v>
      </c>
      <c r="C32" s="114" t="s">
        <v>111</v>
      </c>
      <c r="D32" s="171">
        <f>'Raw Data'!E20/'Raw Data'!E18</f>
        <v>0.45184992522270628</v>
      </c>
      <c r="E32" s="171">
        <f>'Raw Data'!F20/'Raw Data'!F18</f>
        <v>-9.1119691119691121E-2</v>
      </c>
      <c r="F32" s="171">
        <f>'Raw Data'!G20/'Raw Data'!G18</f>
        <v>0.22352753773246783</v>
      </c>
      <c r="G32" s="171">
        <f>'Raw Data'!H20/'Raw Data'!H18</f>
        <v>0.39790786023864305</v>
      </c>
      <c r="H32" s="171">
        <f>'Raw Data'!M20/'Raw Data'!M18</f>
        <v>0.76567585709038866</v>
      </c>
      <c r="I32" s="114"/>
      <c r="J32" s="171">
        <f>MIN(D32:G32)</f>
        <v>-9.1119691119691121E-2</v>
      </c>
      <c r="K32" s="171">
        <f>AVERAGE(D32:G32)</f>
        <v>0.24554140801853153</v>
      </c>
      <c r="L32" s="171">
        <f>MAX(D32:G32)</f>
        <v>0.45184992522270628</v>
      </c>
      <c r="M32" s="106"/>
      <c r="N32" s="114"/>
      <c r="O32" s="192" t="s">
        <v>374</v>
      </c>
    </row>
    <row r="33" spans="1:15" ht="15" customHeight="1" x14ac:dyDescent="0.3">
      <c r="A33" s="106"/>
      <c r="B33" s="166" t="s">
        <v>375</v>
      </c>
      <c r="C33" s="114" t="s">
        <v>111</v>
      </c>
      <c r="D33" s="171">
        <f>'Raw Data'!E22/'Raw Data'!E18</f>
        <v>0.10130697704662202</v>
      </c>
      <c r="E33" s="171">
        <f>'Raw Data'!F22/'Raw Data'!F18</f>
        <v>0.20038610038610039</v>
      </c>
      <c r="F33" s="171">
        <f>'Raw Data'!G22/'Raw Data'!G18</f>
        <v>0.13659352475010952</v>
      </c>
      <c r="G33" s="171">
        <f>'Raw Data'!H22/'Raw Data'!H18</f>
        <v>0.10161057306436941</v>
      </c>
      <c r="H33" s="171">
        <f>'Raw Data'!M22/'Raw Data'!M18</f>
        <v>4.7328360288250867E-2</v>
      </c>
      <c r="I33" s="114"/>
      <c r="J33" s="171">
        <f>MIN(D33:G33)</f>
        <v>0.10130697704662202</v>
      </c>
      <c r="K33" s="171">
        <f>AVERAGE(D33:G33)</f>
        <v>0.13497429381180032</v>
      </c>
      <c r="L33" s="171">
        <f>MAX(D33:G33)</f>
        <v>0.20038610038610039</v>
      </c>
      <c r="M33" s="106"/>
      <c r="N33" s="106"/>
      <c r="O33" s="113" t="s">
        <v>376</v>
      </c>
    </row>
    <row r="34" spans="1:15" ht="15" customHeight="1" x14ac:dyDescent="0.3">
      <c r="A34" s="106"/>
      <c r="B34" s="166" t="s">
        <v>377</v>
      </c>
      <c r="C34" s="114" t="s">
        <v>111</v>
      </c>
      <c r="D34" s="171">
        <f>'Raw Data'!E22/'Raw Data'!D22 - 1</f>
        <v>0.1701088997371385</v>
      </c>
      <c r="E34" s="171">
        <f>'Raw Data'!F22/'Raw Data'!E22 - 1</f>
        <v>-6.4184852374837842E-4</v>
      </c>
      <c r="F34" s="171">
        <f>'Raw Data'!G22/'Raw Data'!F22 - 1</f>
        <v>0.10147719974309566</v>
      </c>
      <c r="G34" s="171">
        <f>'Raw Data'!H22/'Raw Data'!G22 - 1</f>
        <v>0.10728862973760922</v>
      </c>
      <c r="H34" s="171"/>
      <c r="I34" s="114"/>
      <c r="J34" s="106"/>
      <c r="K34" s="106"/>
      <c r="L34" s="106"/>
      <c r="M34" s="106"/>
      <c r="N34" s="106"/>
      <c r="O34" s="113" t="s">
        <v>378</v>
      </c>
    </row>
    <row r="35" spans="1:15" ht="15" customHeight="1" x14ac:dyDescent="0.3">
      <c r="A35" s="106"/>
      <c r="B35" s="166" t="s">
        <v>379</v>
      </c>
      <c r="C35" s="114" t="s">
        <v>111</v>
      </c>
      <c r="D35" s="171">
        <f>'Raw Data'!E23/'Raw Data'!E18</f>
        <v>3.4657650042265425E-2</v>
      </c>
      <c r="E35" s="171">
        <f>'Raw Data'!F23/'Raw Data'!F18</f>
        <v>5.9202059202059204E-2</v>
      </c>
      <c r="F35" s="171">
        <f>'Raw Data'!G23/'Raw Data'!G18</f>
        <v>4.496037593086695E-2</v>
      </c>
      <c r="G35" s="171">
        <f>'Raw Data'!H23/'Raw Data'!H18</f>
        <v>3.2238214992776501E-2</v>
      </c>
      <c r="H35" s="171">
        <f>'Raw Data'!M23/'Raw Data'!M18</f>
        <v>1.3779303182664421E-2</v>
      </c>
      <c r="I35" s="114"/>
      <c r="J35" s="171">
        <f>MIN(D35:G35)</f>
        <v>3.2238214992776501E-2</v>
      </c>
      <c r="K35" s="171">
        <f>AVERAGE(D35:G35)</f>
        <v>4.276457504199202E-2</v>
      </c>
      <c r="L35" s="171">
        <f>MAX(D35:G35)</f>
        <v>5.9202059202059204E-2</v>
      </c>
      <c r="M35" s="106"/>
      <c r="N35" s="106"/>
      <c r="O35" s="113" t="s">
        <v>380</v>
      </c>
    </row>
    <row r="36" spans="1:15" ht="15" customHeight="1" x14ac:dyDescent="0.3">
      <c r="A36" s="106"/>
      <c r="B36" s="166" t="s">
        <v>381</v>
      </c>
      <c r="C36" s="114" t="s">
        <v>111</v>
      </c>
      <c r="D36" s="171">
        <f>'Raw Data'!E23/'Raw Data'!D23-1</f>
        <v>0.19239373601789711</v>
      </c>
      <c r="E36" s="171">
        <f>'Raw Data'!F23/'Raw Data'!E23-1</f>
        <v>-0.1369606003752345</v>
      </c>
      <c r="F36" s="171">
        <f>'Raw Data'!G23/'Raw Data'!F23-1</f>
        <v>0.22717391304347823</v>
      </c>
      <c r="G36" s="171">
        <f>'Raw Data'!H23/'Raw Data'!G23-1</f>
        <v>6.7316209034543828E-2</v>
      </c>
      <c r="H36" s="171"/>
      <c r="I36" s="114"/>
      <c r="J36" s="106"/>
      <c r="K36" s="106"/>
      <c r="L36" s="106"/>
      <c r="M36" s="106"/>
      <c r="N36" s="106"/>
      <c r="O36" s="113" t="s">
        <v>382</v>
      </c>
    </row>
    <row r="37" spans="1:15" ht="15" customHeight="1" x14ac:dyDescent="0.3">
      <c r="A37" s="106"/>
      <c r="B37" s="166" t="s">
        <v>383</v>
      </c>
      <c r="C37" s="114" t="s">
        <v>111</v>
      </c>
      <c r="D37" s="171">
        <f>'Raw Data'!E26/'Raw Data'!E18</f>
        <v>0.31543013199817932</v>
      </c>
      <c r="E37" s="171">
        <f>'Raw Data'!F26/'Raw Data'!F18</f>
        <v>-0.36969111969111967</v>
      </c>
      <c r="F37" s="171">
        <f>'Raw Data'!G26/'Raw Data'!G18</f>
        <v>5.192943331607662E-2</v>
      </c>
      <c r="G37" s="171">
        <f>'Raw Data'!H26/'Raw Data'!H18</f>
        <v>0.26138370164267749</v>
      </c>
      <c r="H37" s="171">
        <f>'Raw Data'!M26/'Raw Data'!M18</f>
        <v>0.70402360718854085</v>
      </c>
      <c r="I37" s="114"/>
      <c r="J37" s="171">
        <f>MIN(D37:G37)</f>
        <v>-0.36969111969111967</v>
      </c>
      <c r="K37" s="171">
        <f>AVERAGE(D37:G37)</f>
        <v>6.4763036816453443E-2</v>
      </c>
      <c r="L37" s="171">
        <f>MAX(D37:G37)</f>
        <v>0.31543013199817932</v>
      </c>
      <c r="M37" s="106"/>
      <c r="N37" s="106"/>
      <c r="O37" s="113" t="s">
        <v>384</v>
      </c>
    </row>
    <row r="38" spans="1:15" ht="15" customHeight="1" x14ac:dyDescent="0.3">
      <c r="A38" s="106"/>
      <c r="B38" s="161" t="s">
        <v>93</v>
      </c>
      <c r="C38" s="162" t="s">
        <v>148</v>
      </c>
      <c r="D38" s="163">
        <f>'Raw Data'!E26+'Raw Data'!E98</f>
        <v>16818</v>
      </c>
      <c r="E38" s="163">
        <f>'Raw Data'!F26+'Raw Data'!F98</f>
        <v>2011</v>
      </c>
      <c r="F38" s="163">
        <f>'Raw Data'!G26+'Raw Data'!G98</f>
        <v>9084</v>
      </c>
      <c r="G38" s="163">
        <f>'Raw Data'!H26+'Raw Data'!H98</f>
        <v>18122</v>
      </c>
      <c r="H38" s="163">
        <f>'Raw Data'!M26+'Raw Data'!M98</f>
        <v>62451</v>
      </c>
      <c r="I38" s="114"/>
      <c r="J38" s="106"/>
      <c r="K38" s="106"/>
      <c r="L38" s="106"/>
      <c r="M38" s="106"/>
      <c r="N38" s="106"/>
      <c r="O38" s="113" t="s">
        <v>385</v>
      </c>
    </row>
    <row r="39" spans="1:15" ht="15" customHeight="1" x14ac:dyDescent="0.3">
      <c r="A39" s="106"/>
      <c r="B39" s="166" t="s">
        <v>386</v>
      </c>
      <c r="C39" s="114" t="s">
        <v>111</v>
      </c>
      <c r="D39" s="171">
        <f>D38/D13</f>
        <v>0.54678457637037514</v>
      </c>
      <c r="E39" s="171">
        <f t="shared" ref="E39:H39" si="1">E38/E13</f>
        <v>0.12940797940797941</v>
      </c>
      <c r="F39" s="171">
        <f t="shared" si="1"/>
        <v>0.36175381306996934</v>
      </c>
      <c r="G39" s="171">
        <f t="shared" si="1"/>
        <v>0.4848306490448927</v>
      </c>
      <c r="H39" s="171">
        <f t="shared" si="1"/>
        <v>0.79092946972479383</v>
      </c>
      <c r="I39" s="114"/>
      <c r="J39" s="171">
        <f>MIN(D39:G39)</f>
        <v>0.12940797940797941</v>
      </c>
      <c r="K39" s="171">
        <f>AVERAGE(D39:G39)</f>
        <v>0.38069425447330418</v>
      </c>
      <c r="L39" s="171">
        <f>MAX(D39:G39)</f>
        <v>0.54678457637037514</v>
      </c>
      <c r="M39" s="106"/>
      <c r="N39" s="106"/>
      <c r="O39" s="113" t="s">
        <v>387</v>
      </c>
    </row>
    <row r="40" spans="1:15" x14ac:dyDescent="0.3">
      <c r="A40" s="106"/>
      <c r="B40" s="106"/>
      <c r="C40" s="114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</row>
    <row r="41" spans="1:15" x14ac:dyDescent="0.3">
      <c r="A41" s="106"/>
      <c r="B41" s="106"/>
      <c r="C41" s="114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</row>
    <row r="42" spans="1:15" ht="24" customHeight="1" x14ac:dyDescent="0.3">
      <c r="A42" s="106"/>
      <c r="B42" s="151" t="s">
        <v>388</v>
      </c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</row>
    <row r="43" spans="1:15" ht="15" customHeight="1" x14ac:dyDescent="0.3">
      <c r="A43" s="106"/>
      <c r="B43" s="143" t="s">
        <v>141</v>
      </c>
      <c r="C43" s="143" t="s">
        <v>107</v>
      </c>
      <c r="D43" s="144" t="s">
        <v>143</v>
      </c>
      <c r="E43" s="144" t="s">
        <v>144</v>
      </c>
      <c r="F43" s="144" t="s">
        <v>145</v>
      </c>
      <c r="G43" s="144" t="s">
        <v>146</v>
      </c>
      <c r="H43" s="144" t="s">
        <v>341</v>
      </c>
      <c r="I43" s="145"/>
      <c r="J43" s="144" t="s">
        <v>342</v>
      </c>
      <c r="K43" s="144" t="s">
        <v>343</v>
      </c>
      <c r="L43" s="144" t="s">
        <v>344</v>
      </c>
      <c r="M43" s="144"/>
      <c r="N43" s="143"/>
      <c r="O43" s="143" t="s">
        <v>345</v>
      </c>
    </row>
    <row r="44" spans="1:15" ht="15" customHeight="1" x14ac:dyDescent="0.3">
      <c r="A44" s="106"/>
      <c r="B44" s="166" t="s">
        <v>97</v>
      </c>
      <c r="C44" s="114" t="s">
        <v>148</v>
      </c>
      <c r="D44" s="115">
        <f>-'Raw Data'!E115</f>
        <v>12067</v>
      </c>
      <c r="E44" s="115">
        <f>-'Raw Data'!F115</f>
        <v>7676</v>
      </c>
      <c r="F44" s="115">
        <f>-'Raw Data'!G115</f>
        <v>8386</v>
      </c>
      <c r="G44" s="115">
        <f>-'Raw Data'!H115</f>
        <v>15857</v>
      </c>
      <c r="H44" s="115">
        <f>-'Raw Data'!M115</f>
        <v>19602</v>
      </c>
      <c r="I44" s="114"/>
      <c r="J44" s="106"/>
      <c r="K44" s="106"/>
      <c r="L44" s="106"/>
      <c r="M44" s="106"/>
      <c r="N44" s="106"/>
      <c r="O44" s="113" t="s">
        <v>389</v>
      </c>
    </row>
    <row r="45" spans="1:15" ht="15" customHeight="1" x14ac:dyDescent="0.3">
      <c r="A45" s="106"/>
      <c r="B45" s="166" t="s">
        <v>390</v>
      </c>
      <c r="C45" s="114" t="s">
        <v>111</v>
      </c>
      <c r="D45" s="171">
        <f>D44/D13</f>
        <v>0.39232069705442485</v>
      </c>
      <c r="E45" s="171">
        <f t="shared" ref="E45:H45" si="2">E44/E13</f>
        <v>0.49395109395109393</v>
      </c>
      <c r="F45" s="171">
        <f t="shared" si="2"/>
        <v>0.33395722989924737</v>
      </c>
      <c r="G45" s="171">
        <f t="shared" si="2"/>
        <v>0.42423350634062817</v>
      </c>
      <c r="H45" s="171">
        <f t="shared" si="2"/>
        <v>0.24825542370090806</v>
      </c>
      <c r="I45" s="114"/>
      <c r="J45" s="171">
        <f>MIN(D45:G45)</f>
        <v>0.33395722989924737</v>
      </c>
      <c r="K45" s="171">
        <f>AVERAGE(D45:G45)</f>
        <v>0.41111563181134858</v>
      </c>
      <c r="L45" s="171">
        <f>MAX(D45:G45)</f>
        <v>0.49395109395109393</v>
      </c>
      <c r="M45" s="106"/>
      <c r="N45" s="106"/>
      <c r="O45" s="113" t="s">
        <v>391</v>
      </c>
    </row>
    <row r="46" spans="1:15" ht="15" customHeight="1" x14ac:dyDescent="0.3">
      <c r="A46" s="106"/>
      <c r="B46" s="166" t="s">
        <v>392</v>
      </c>
      <c r="C46" s="114" t="s">
        <v>148</v>
      </c>
      <c r="D46" s="115">
        <f>'Raw Data'!E119</f>
        <v>115</v>
      </c>
      <c r="E46" s="115">
        <f>'Raw Data'!F119</f>
        <v>710</v>
      </c>
      <c r="F46" s="115">
        <f>'Raw Data'!G119</f>
        <v>315</v>
      </c>
      <c r="G46" s="115">
        <f>'Raw Data'!H119</f>
        <v>2005</v>
      </c>
      <c r="H46" s="115">
        <f>'Raw Data'!M119</f>
        <v>2989</v>
      </c>
      <c r="I46" s="114"/>
      <c r="J46" s="106"/>
      <c r="K46" s="106"/>
      <c r="L46" s="106"/>
      <c r="M46" s="106"/>
      <c r="N46" s="106"/>
      <c r="O46" s="113" t="s">
        <v>393</v>
      </c>
    </row>
    <row r="47" spans="1:15" ht="15" customHeight="1" x14ac:dyDescent="0.3">
      <c r="A47" s="106"/>
      <c r="B47" s="166" t="s">
        <v>394</v>
      </c>
      <c r="C47" s="114" t="s">
        <v>148</v>
      </c>
      <c r="D47" s="115">
        <f>D44-D46</f>
        <v>11952</v>
      </c>
      <c r="E47" s="115">
        <f t="shared" ref="E47:H47" si="3">E44-E46</f>
        <v>6966</v>
      </c>
      <c r="F47" s="115">
        <f t="shared" si="3"/>
        <v>8071</v>
      </c>
      <c r="G47" s="115">
        <f t="shared" si="3"/>
        <v>13852</v>
      </c>
      <c r="H47" s="115">
        <f t="shared" si="3"/>
        <v>16613</v>
      </c>
      <c r="I47" s="114"/>
      <c r="J47" s="106"/>
      <c r="K47" s="106"/>
      <c r="L47" s="106"/>
      <c r="M47" s="106"/>
      <c r="N47" s="106"/>
      <c r="O47" s="113" t="s">
        <v>395</v>
      </c>
    </row>
    <row r="48" spans="1:15" ht="15" customHeight="1" x14ac:dyDescent="0.3">
      <c r="A48" s="106"/>
      <c r="B48" s="166" t="s">
        <v>396</v>
      </c>
      <c r="C48" s="114" t="s">
        <v>148</v>
      </c>
      <c r="D48" s="115">
        <f>'Raw Data'!E98</f>
        <v>7116</v>
      </c>
      <c r="E48" s="115">
        <f>'Raw Data'!F98</f>
        <v>7756</v>
      </c>
      <c r="F48" s="115">
        <f>'Raw Data'!G98</f>
        <v>7780</v>
      </c>
      <c r="G48" s="115">
        <f>'Raw Data'!H98</f>
        <v>8352</v>
      </c>
      <c r="H48" s="115">
        <f>'Raw Data'!M98</f>
        <v>6862</v>
      </c>
      <c r="I48" s="114"/>
      <c r="J48" s="106"/>
      <c r="K48" s="106"/>
      <c r="L48" s="106"/>
      <c r="M48" s="106"/>
      <c r="N48" s="106"/>
      <c r="O48" s="113" t="s">
        <v>397</v>
      </c>
    </row>
    <row r="49" spans="1:16" ht="15" customHeight="1" x14ac:dyDescent="0.3">
      <c r="A49" s="106"/>
      <c r="B49" s="166" t="s">
        <v>398</v>
      </c>
      <c r="C49" s="114" t="s">
        <v>111</v>
      </c>
      <c r="D49" s="171">
        <f>D48/'Raw Data'!D60</f>
        <v>0.21425345497245055</v>
      </c>
      <c r="E49" s="171">
        <f>E48/'Raw Data'!E60</f>
        <v>0.20119847466860361</v>
      </c>
      <c r="F49" s="171">
        <f>F48/'Raw Data'!F60</f>
        <v>0.20512550094916684</v>
      </c>
      <c r="G49" s="171">
        <f>G48/'Raw Data'!G60</f>
        <v>0.21011849354700748</v>
      </c>
      <c r="H49" s="171">
        <f>H48*$D$8/H$8/'Raw Data'!H60</f>
        <v>0.19691927161341199</v>
      </c>
      <c r="I49" s="114"/>
      <c r="J49" s="171">
        <f>MIN(D49:G49)</f>
        <v>0.20119847466860361</v>
      </c>
      <c r="K49" s="171">
        <f>AVERAGE(D49:G49)</f>
        <v>0.20767398103430712</v>
      </c>
      <c r="L49" s="171">
        <f>MAX(D49:G49)</f>
        <v>0.21425345497245055</v>
      </c>
      <c r="M49" s="106"/>
      <c r="N49" s="106"/>
      <c r="O49" s="113" t="s">
        <v>399</v>
      </c>
    </row>
    <row r="50" spans="1:16" ht="15" customHeight="1" x14ac:dyDescent="0.3">
      <c r="A50" s="106"/>
      <c r="B50" s="166" t="s">
        <v>400</v>
      </c>
      <c r="C50" s="114" t="s">
        <v>113</v>
      </c>
      <c r="D50" s="175">
        <f>D44/D48</f>
        <v>1.6957560427206295</v>
      </c>
      <c r="E50" s="175">
        <f t="shared" ref="E50:H50" si="4">E44/E48</f>
        <v>0.98968540484785972</v>
      </c>
      <c r="F50" s="175">
        <f t="shared" si="4"/>
        <v>1.0778920308483291</v>
      </c>
      <c r="G50" s="175">
        <f t="shared" si="4"/>
        <v>1.8985871647509578</v>
      </c>
      <c r="H50" s="175">
        <f t="shared" si="4"/>
        <v>2.8566015738851647</v>
      </c>
      <c r="I50" s="114"/>
      <c r="J50" s="106"/>
      <c r="K50" s="106"/>
      <c r="L50" s="106"/>
      <c r="M50" s="106"/>
      <c r="N50" s="106"/>
      <c r="O50" s="113" t="s">
        <v>401</v>
      </c>
    </row>
    <row r="51" spans="1:16" x14ac:dyDescent="0.3">
      <c r="A51" s="106"/>
      <c r="B51" s="106"/>
      <c r="C51" s="114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spans="1:16" x14ac:dyDescent="0.3">
      <c r="A52" s="106"/>
      <c r="B52" s="106"/>
      <c r="C52" s="114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1:16" ht="24" customHeight="1" x14ac:dyDescent="0.3">
      <c r="A53" s="106"/>
      <c r="B53" s="151" t="s">
        <v>402</v>
      </c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</row>
    <row r="54" spans="1:16" ht="15" customHeight="1" x14ac:dyDescent="0.3">
      <c r="A54" s="106"/>
      <c r="B54" s="143" t="s">
        <v>141</v>
      </c>
      <c r="C54" s="143" t="s">
        <v>107</v>
      </c>
      <c r="D54" s="144" t="s">
        <v>143</v>
      </c>
      <c r="E54" s="144" t="s">
        <v>144</v>
      </c>
      <c r="F54" s="144" t="s">
        <v>145</v>
      </c>
      <c r="G54" s="144" t="s">
        <v>146</v>
      </c>
      <c r="H54" s="144" t="s">
        <v>341</v>
      </c>
      <c r="I54" s="145"/>
      <c r="J54" s="144" t="s">
        <v>342</v>
      </c>
      <c r="K54" s="144" t="s">
        <v>343</v>
      </c>
      <c r="L54" s="144" t="s">
        <v>344</v>
      </c>
      <c r="M54" s="144"/>
      <c r="N54" s="143"/>
      <c r="O54" s="143" t="s">
        <v>345</v>
      </c>
    </row>
    <row r="55" spans="1:16" ht="15" customHeight="1" x14ac:dyDescent="0.3">
      <c r="A55" s="106"/>
      <c r="B55" s="166" t="s">
        <v>403</v>
      </c>
      <c r="C55" s="114" t="s">
        <v>347</v>
      </c>
      <c r="D55" s="132">
        <f>'Raw Data'!E53/'Historical Drivers'!D13 * 'Historical Drivers'!D8</f>
        <v>60.876845048442682</v>
      </c>
      <c r="E55" s="132">
        <f>'Raw Data'!F53/'Historical Drivers'!E13 * 'Historical Drivers'!E8</f>
        <v>57.380630630630634</v>
      </c>
      <c r="F55" s="132">
        <f>'Raw Data'!G53/'Historical Drivers'!F13 * 'Historical Drivers'!F8</f>
        <v>96.152084743737802</v>
      </c>
      <c r="G55" s="132">
        <f>'Raw Data'!H53/'Historical Drivers'!G13 * 'Historical Drivers'!G8</f>
        <v>90.473674353898005</v>
      </c>
      <c r="H55" s="132">
        <f>'Raw Data'!M53/'Historical Drivers'!H13 * 'Historical Drivers'!H8</f>
        <v>107.26864575285907</v>
      </c>
      <c r="I55" s="114"/>
      <c r="J55" s="132">
        <f>MIN(D55:G55)</f>
        <v>57.380630630630634</v>
      </c>
      <c r="K55" s="132">
        <f>AVERAGE(D55:G55)</f>
        <v>76.220808694177279</v>
      </c>
      <c r="L55" s="132">
        <f>MAX(D55:G55)</f>
        <v>96.152084743737802</v>
      </c>
      <c r="M55" s="106"/>
      <c r="N55" s="106"/>
      <c r="O55" s="113" t="s">
        <v>404</v>
      </c>
      <c r="P55" t="s">
        <v>449</v>
      </c>
    </row>
    <row r="56" spans="1:16" ht="15" customHeight="1" x14ac:dyDescent="0.3">
      <c r="A56" s="106"/>
      <c r="B56" s="166" t="s">
        <v>405</v>
      </c>
      <c r="C56" s="114" t="s">
        <v>347</v>
      </c>
      <c r="D56" s="132">
        <f>'Raw Data'!E54/'Raw Data'!E19 * 'Historical Drivers'!D8</f>
        <v>144.24644128113877</v>
      </c>
      <c r="E56" s="132">
        <f>'Raw Data'!F54/'Raw Data'!F19 * 'Historical Drivers'!E8</f>
        <v>180.5411063930172</v>
      </c>
      <c r="F56" s="132">
        <f>'Raw Data'!G54/'Raw Data'!G19 * 'Historical Drivers'!F8</f>
        <v>166.13883475228226</v>
      </c>
      <c r="G56" s="132">
        <f>'Raw Data'!H54/'Raw Data'!H19 * 'Historical Drivers'!G8</f>
        <v>135.5065540990891</v>
      </c>
      <c r="H56" s="132">
        <f>'Raw Data'!M54/'Raw Data'!M19 * 'Historical Drivers'!H8</f>
        <v>126.40746946276079</v>
      </c>
      <c r="I56" s="114"/>
      <c r="J56" s="132">
        <f>MIN(D56:G56)</f>
        <v>135.5065540990891</v>
      </c>
      <c r="K56" s="132">
        <f>AVERAGE(D56:G56)</f>
        <v>156.60823413138183</v>
      </c>
      <c r="L56" s="132">
        <f>MAX(D56:G56)</f>
        <v>180.5411063930172</v>
      </c>
      <c r="M56" s="106"/>
      <c r="N56" s="106"/>
      <c r="O56" s="113" t="s">
        <v>406</v>
      </c>
      <c r="P56" t="s">
        <v>450</v>
      </c>
    </row>
    <row r="57" spans="1:16" ht="15" customHeight="1" x14ac:dyDescent="0.3">
      <c r="A57" s="106"/>
      <c r="B57" s="166" t="s">
        <v>407</v>
      </c>
      <c r="C57" s="114" t="s">
        <v>347</v>
      </c>
      <c r="D57" s="190">
        <f>'Raw Data'!E70/'Raw Data'!E19 * 'Historical Drivers'!D8</f>
        <v>131.84163701067615</v>
      </c>
      <c r="E57" s="190">
        <f>'Raw Data'!F70/'Raw Data'!F19 * 'Historical Drivers'!E8</f>
        <v>85.201108752064172</v>
      </c>
      <c r="F57" s="190">
        <f>'Raw Data'!G70/'Raw Data'!G19 * 'Historical Drivers'!F8</f>
        <v>136.63632167401784</v>
      </c>
      <c r="G57" s="190">
        <f>'Raw Data'!H70/'Raw Data'!H19 * 'Historical Drivers'!G8</f>
        <v>156.4934459009109</v>
      </c>
      <c r="H57" s="190">
        <f>'Raw Data'!M70/'Raw Data'!M19 * 'Historical Drivers'!H8</f>
        <v>229.01486325802617</v>
      </c>
      <c r="I57" s="114"/>
      <c r="J57" s="132">
        <f>MIN(D57:G57)</f>
        <v>85.201108752064172</v>
      </c>
      <c r="K57" s="132">
        <f>AVERAGE(D57:G57)</f>
        <v>127.54312833441726</v>
      </c>
      <c r="L57" s="132">
        <f>MAX(D57:G57)</f>
        <v>156.4934459009109</v>
      </c>
      <c r="M57" s="106"/>
      <c r="N57" s="106"/>
      <c r="O57" s="113" t="s">
        <v>408</v>
      </c>
      <c r="P57" t="s">
        <v>451</v>
      </c>
    </row>
    <row r="58" spans="1:16" ht="15" customHeight="1" x14ac:dyDescent="0.3">
      <c r="A58" s="106"/>
      <c r="B58" s="161" t="s">
        <v>409</v>
      </c>
      <c r="C58" s="162" t="s">
        <v>148</v>
      </c>
      <c r="D58" s="163">
        <f>'Raw Data'!E53+'Raw Data'!E54-'Raw Data'!E70</f>
        <v>5703</v>
      </c>
      <c r="E58" s="163">
        <f>'Raw Data'!F53+'Raw Data'!F54-'Raw Data'!F70</f>
        <v>6872</v>
      </c>
      <c r="F58" s="163">
        <f>'Raw Data'!G53+'Raw Data'!G54-'Raw Data'!G70</f>
        <v>8191</v>
      </c>
      <c r="G58" s="163">
        <f>'Raw Data'!H53+'Raw Data'!H54-'Raw Data'!H70</f>
        <v>7971</v>
      </c>
      <c r="H58" s="163">
        <f>'Raw Data'!M53+'Raw Data'!M54-'Raw Data'!M70</f>
        <v>24071</v>
      </c>
      <c r="I58" s="114"/>
      <c r="J58" s="106"/>
      <c r="K58" s="106"/>
      <c r="L58" s="106"/>
      <c r="M58" s="106"/>
      <c r="N58" s="106"/>
      <c r="O58" s="113" t="s">
        <v>410</v>
      </c>
      <c r="P58" t="s">
        <v>452</v>
      </c>
    </row>
    <row r="59" spans="1:16" ht="15" customHeight="1" x14ac:dyDescent="0.3">
      <c r="A59" s="106"/>
      <c r="B59" s="166" t="s">
        <v>411</v>
      </c>
      <c r="C59" s="114" t="s">
        <v>111</v>
      </c>
      <c r="D59" s="171">
        <f>D58/D13</f>
        <v>0.1854151765394369</v>
      </c>
      <c r="E59" s="171">
        <f t="shared" ref="E59:G59" si="5">E58/E13</f>
        <v>0.44221364221364223</v>
      </c>
      <c r="F59" s="171">
        <f t="shared" si="5"/>
        <v>0.32619170881287085</v>
      </c>
      <c r="G59" s="171">
        <f t="shared" si="5"/>
        <v>0.21325378564931244</v>
      </c>
      <c r="H59" s="171">
        <f>H58/(H13*$D$8/H$8)</f>
        <v>0.22801440039888918</v>
      </c>
      <c r="I59" s="114"/>
      <c r="J59" s="106"/>
      <c r="K59" s="106"/>
      <c r="L59" s="106"/>
      <c r="M59" s="106"/>
      <c r="N59" s="106"/>
      <c r="O59" s="113" t="s">
        <v>412</v>
      </c>
    </row>
    <row r="60" spans="1:16" x14ac:dyDescent="0.3">
      <c r="A60" s="106"/>
      <c r="B60" s="106"/>
      <c r="C60" s="114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 spans="1:16" x14ac:dyDescent="0.3">
      <c r="A61" s="106"/>
      <c r="B61" s="106"/>
      <c r="C61" s="114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 spans="1:16" ht="24" customHeight="1" x14ac:dyDescent="0.3">
      <c r="A62" s="106"/>
      <c r="B62" s="151" t="s">
        <v>413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</row>
    <row r="63" spans="1:16" ht="15" customHeight="1" x14ac:dyDescent="0.3">
      <c r="A63" s="106"/>
      <c r="B63" s="143" t="s">
        <v>141</v>
      </c>
      <c r="C63" s="143" t="s">
        <v>107</v>
      </c>
      <c r="D63" s="144" t="s">
        <v>143</v>
      </c>
      <c r="E63" s="144" t="s">
        <v>144</v>
      </c>
      <c r="F63" s="144" t="s">
        <v>145</v>
      </c>
      <c r="G63" s="144" t="s">
        <v>146</v>
      </c>
      <c r="H63" s="144" t="s">
        <v>341</v>
      </c>
      <c r="I63" s="145"/>
      <c r="J63" s="144" t="s">
        <v>342</v>
      </c>
      <c r="K63" s="144" t="s">
        <v>343</v>
      </c>
      <c r="L63" s="144" t="s">
        <v>344</v>
      </c>
      <c r="M63" s="144"/>
      <c r="N63" s="143"/>
      <c r="O63" s="143" t="s">
        <v>345</v>
      </c>
    </row>
    <row r="64" spans="1:16" ht="15" customHeight="1" x14ac:dyDescent="0.3">
      <c r="A64" s="106"/>
      <c r="B64" s="166" t="s">
        <v>414</v>
      </c>
      <c r="C64" s="114" t="s">
        <v>111</v>
      </c>
      <c r="D64" s="171">
        <f>-'Raw Data'!E32/'Raw Data'!E31</f>
        <v>9.2780273743600455E-2</v>
      </c>
      <c r="E64" s="171">
        <f>-'Raw Data'!F32/'Raw Data'!F31</f>
        <v>-3.1283138918345707E-2</v>
      </c>
      <c r="F64" s="171">
        <f>-'Raw Data'!G32/'Raw Data'!G31</f>
        <v>0.36370967741935484</v>
      </c>
      <c r="G64" s="171">
        <f>-'Raw Data'!H32/'Raw Data'!H31</f>
        <v>0.1164284234514191</v>
      </c>
      <c r="H64" s="171">
        <f>-'Raw Data'!M32/'Raw Data'!M31</f>
        <v>0.14752944996662637</v>
      </c>
      <c r="I64" s="114"/>
      <c r="J64" s="171">
        <f>MIN(D64:G64)</f>
        <v>-3.1283138918345707E-2</v>
      </c>
      <c r="K64" s="171">
        <f>AVERAGE(D64:G64)</f>
        <v>0.13540880892400717</v>
      </c>
      <c r="L64" s="171">
        <f>MAX(D64:G64)</f>
        <v>0.36370967741935484</v>
      </c>
      <c r="M64" s="106"/>
      <c r="N64" s="106"/>
      <c r="O64" s="113" t="s">
        <v>415</v>
      </c>
    </row>
    <row r="65" spans="1:15" ht="15" customHeight="1" x14ac:dyDescent="0.3">
      <c r="A65" s="106"/>
      <c r="B65" s="166" t="s">
        <v>416</v>
      </c>
      <c r="C65" s="114" t="s">
        <v>111</v>
      </c>
      <c r="D65" s="171">
        <f>-'Raw Data'!E139/'Raw Data'!E31</f>
        <v>5.1509769094138541E-2</v>
      </c>
      <c r="E65" s="171">
        <f>-'Raw Data'!F139/'Raw Data'!F31</f>
        <v>-9.4026157652880873E-2</v>
      </c>
      <c r="F65" s="171">
        <f>-'Raw Data'!G139/'Raw Data'!G31</f>
        <v>0.27258064516129032</v>
      </c>
      <c r="G65" s="171">
        <f>-'Raw Data'!H139/'Raw Data'!H31</f>
        <v>6.0389475864926455E-2</v>
      </c>
      <c r="H65" s="171"/>
      <c r="I65" s="114"/>
      <c r="J65" s="106"/>
      <c r="K65" s="106"/>
      <c r="L65" s="106"/>
      <c r="M65" s="106"/>
      <c r="N65" s="106"/>
      <c r="O65" s="113" t="s">
        <v>417</v>
      </c>
    </row>
    <row r="66" spans="1:15" x14ac:dyDescent="0.3">
      <c r="A66" s="106"/>
      <c r="B66" s="106"/>
      <c r="C66" s="114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 spans="1:15" x14ac:dyDescent="0.3">
      <c r="A67" s="106"/>
      <c r="B67" s="106"/>
      <c r="C67" s="114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 spans="1:15" ht="24" customHeight="1" x14ac:dyDescent="0.3">
      <c r="A68" s="106"/>
      <c r="B68" s="151" t="s">
        <v>418</v>
      </c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</row>
    <row r="69" spans="1:15" ht="15" customHeight="1" x14ac:dyDescent="0.3">
      <c r="A69" s="106"/>
      <c r="B69" s="143" t="s">
        <v>141</v>
      </c>
      <c r="C69" s="143" t="s">
        <v>107</v>
      </c>
      <c r="D69" s="144" t="s">
        <v>143</v>
      </c>
      <c r="E69" s="144" t="s">
        <v>144</v>
      </c>
      <c r="F69" s="144" t="s">
        <v>145</v>
      </c>
      <c r="G69" s="144" t="s">
        <v>146</v>
      </c>
      <c r="H69" s="144" t="s">
        <v>341</v>
      </c>
      <c r="I69" s="145"/>
      <c r="J69" s="144" t="s">
        <v>342</v>
      </c>
      <c r="K69" s="144" t="s">
        <v>343</v>
      </c>
      <c r="L69" s="144" t="s">
        <v>344</v>
      </c>
      <c r="M69" s="144"/>
      <c r="N69" s="143"/>
      <c r="O69" s="143" t="s">
        <v>345</v>
      </c>
    </row>
    <row r="70" spans="1:15" ht="15" customHeight="1" x14ac:dyDescent="0.3">
      <c r="A70" s="106"/>
      <c r="B70" s="166" t="s">
        <v>419</v>
      </c>
      <c r="C70" s="114" t="s">
        <v>148</v>
      </c>
      <c r="D70" s="139">
        <f>'Raw Data'!E113</f>
        <v>15181</v>
      </c>
      <c r="E70" s="139">
        <f>'Raw Data'!F113</f>
        <v>1559</v>
      </c>
      <c r="F70" s="139">
        <f>'Raw Data'!G113</f>
        <v>8507</v>
      </c>
      <c r="G70" s="139">
        <f>'Raw Data'!H113</f>
        <v>17525</v>
      </c>
      <c r="H70" s="139">
        <f>'Raw Data'!M113</f>
        <v>45702</v>
      </c>
      <c r="I70" s="114"/>
      <c r="J70" s="106"/>
      <c r="K70" s="106"/>
      <c r="L70" s="106"/>
      <c r="M70" s="106"/>
      <c r="N70" s="114"/>
      <c r="O70" s="192" t="s">
        <v>420</v>
      </c>
    </row>
    <row r="71" spans="1:15" ht="15" customHeight="1" x14ac:dyDescent="0.3">
      <c r="A71" s="106"/>
      <c r="B71" s="161" t="s">
        <v>421</v>
      </c>
      <c r="C71" s="162" t="s">
        <v>148</v>
      </c>
      <c r="D71" s="158">
        <f>'Raw Data'!E113+'Raw Data'!E115</f>
        <v>3114</v>
      </c>
      <c r="E71" s="158">
        <f>'Raw Data'!F113+'Raw Data'!F115</f>
        <v>-6117</v>
      </c>
      <c r="F71" s="158">
        <f>'Raw Data'!G113+'Raw Data'!G115</f>
        <v>121</v>
      </c>
      <c r="G71" s="158">
        <f>'Raw Data'!H113+'Raw Data'!H115</f>
        <v>1668</v>
      </c>
      <c r="H71" s="158">
        <f>'Raw Data'!M113+'Raw Data'!M115</f>
        <v>26100</v>
      </c>
      <c r="I71" s="114"/>
      <c r="J71" s="106"/>
      <c r="K71" s="106"/>
      <c r="L71" s="106"/>
      <c r="M71" s="106"/>
      <c r="N71" s="106"/>
      <c r="O71" s="113" t="s">
        <v>422</v>
      </c>
    </row>
    <row r="72" spans="1:15" ht="15" customHeight="1" x14ac:dyDescent="0.3">
      <c r="A72" s="106"/>
      <c r="B72" s="166" t="s">
        <v>423</v>
      </c>
      <c r="C72" s="114" t="s">
        <v>111</v>
      </c>
      <c r="D72" s="124">
        <f>D71/D13</f>
        <v>0.10124195331295922</v>
      </c>
      <c r="E72" s="124">
        <f t="shared" ref="E72:G72" si="6">E71/E13</f>
        <v>-0.39362934362934365</v>
      </c>
      <c r="F72" s="124">
        <f t="shared" si="6"/>
        <v>4.8186053920592567E-3</v>
      </c>
      <c r="G72" s="124">
        <f t="shared" si="6"/>
        <v>4.4625180587511373E-2</v>
      </c>
      <c r="H72" s="124">
        <f>H71/H13</f>
        <v>0.33055129877531375</v>
      </c>
      <c r="I72" s="114"/>
      <c r="J72" s="106"/>
      <c r="K72" s="106"/>
      <c r="L72" s="106"/>
      <c r="M72" s="106"/>
      <c r="N72" s="106"/>
      <c r="O72" s="113" t="s">
        <v>424</v>
      </c>
    </row>
    <row r="73" spans="1:15" ht="15" customHeight="1" x14ac:dyDescent="0.3">
      <c r="A73" s="106"/>
      <c r="B73" s="166" t="s">
        <v>425</v>
      </c>
      <c r="C73" s="114" t="s">
        <v>148</v>
      </c>
      <c r="D73" s="115">
        <f>D71+'Raw Data'!E119</f>
        <v>3229</v>
      </c>
      <c r="E73" s="115">
        <f>E71+'Raw Data'!F119</f>
        <v>-5407</v>
      </c>
      <c r="F73" s="115">
        <f>F71+'Raw Data'!G119</f>
        <v>436</v>
      </c>
      <c r="G73" s="115">
        <f>G71+'Raw Data'!H119</f>
        <v>3673</v>
      </c>
      <c r="H73" s="115">
        <f>H71+'Raw Data'!M119</f>
        <v>29089</v>
      </c>
      <c r="I73" s="114"/>
      <c r="J73" s="106"/>
      <c r="K73" s="106"/>
      <c r="L73" s="106"/>
      <c r="M73" s="106"/>
      <c r="N73" s="106"/>
      <c r="O73" s="113" t="s">
        <v>426</v>
      </c>
    </row>
    <row r="74" spans="1:15" x14ac:dyDescent="0.3">
      <c r="A74" s="106"/>
      <c r="B74" s="106"/>
      <c r="C74" s="114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 spans="1:15" x14ac:dyDescent="0.3">
      <c r="A75" s="106"/>
      <c r="B75" s="106"/>
      <c r="C75" s="114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 spans="1:15" ht="24" customHeight="1" x14ac:dyDescent="0.3">
      <c r="A76" s="106"/>
      <c r="B76" s="151" t="s">
        <v>427</v>
      </c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</row>
    <row r="77" spans="1:15" ht="15" customHeight="1" x14ac:dyDescent="0.3">
      <c r="A77" s="106"/>
      <c r="B77" s="143" t="s">
        <v>141</v>
      </c>
      <c r="C77" s="143" t="s">
        <v>107</v>
      </c>
      <c r="D77" s="144" t="s">
        <v>143</v>
      </c>
      <c r="E77" s="144" t="s">
        <v>144</v>
      </c>
      <c r="F77" s="144" t="s">
        <v>145</v>
      </c>
      <c r="G77" s="144" t="s">
        <v>146</v>
      </c>
      <c r="H77" s="144" t="s">
        <v>341</v>
      </c>
      <c r="I77" s="145"/>
      <c r="J77" s="144" t="s">
        <v>342</v>
      </c>
      <c r="K77" s="144" t="s">
        <v>343</v>
      </c>
      <c r="L77" s="144" t="s">
        <v>344</v>
      </c>
      <c r="M77" s="144"/>
      <c r="N77" s="143"/>
      <c r="O77" s="143" t="s">
        <v>345</v>
      </c>
    </row>
    <row r="78" spans="1:15" ht="15" customHeight="1" x14ac:dyDescent="0.3">
      <c r="A78" s="106"/>
      <c r="B78" s="166" t="s">
        <v>428</v>
      </c>
      <c r="C78" s="114" t="s">
        <v>111</v>
      </c>
      <c r="D78" s="171">
        <f>'Raw Data'!E101/D13</f>
        <v>1.6711099551336237E-2</v>
      </c>
      <c r="E78" s="171">
        <f>'Raw Data'!F101/E13</f>
        <v>3.835263835263835E-2</v>
      </c>
      <c r="F78" s="171">
        <f>'Raw Data'!G101/F13</f>
        <v>3.3172713153598023E-2</v>
      </c>
      <c r="G78" s="171">
        <f>'Raw Data'!H101/G13</f>
        <v>2.600460163732677E-2</v>
      </c>
      <c r="H78" s="171">
        <f>'Raw Data'!M101/H13</f>
        <v>1.208221988627009E-2</v>
      </c>
      <c r="I78" s="114"/>
      <c r="J78" s="171">
        <f>MIN(D78:G78)</f>
        <v>1.6711099551336237E-2</v>
      </c>
      <c r="K78" s="171">
        <f>AVERAGE(D78:G78)</f>
        <v>2.8560263173724842E-2</v>
      </c>
      <c r="L78" s="171">
        <f>MAX(D78:G78)</f>
        <v>3.835263835263835E-2</v>
      </c>
      <c r="M78" s="106"/>
      <c r="N78" s="114"/>
      <c r="O78" s="192" t="s">
        <v>429</v>
      </c>
    </row>
    <row r="79" spans="1:15" ht="15" customHeight="1" x14ac:dyDescent="0.3">
      <c r="A79" s="106"/>
      <c r="B79" s="166" t="s">
        <v>67</v>
      </c>
      <c r="C79" s="114" t="s">
        <v>156</v>
      </c>
      <c r="D79" s="132">
        <f>'Raw Data'!E42</f>
        <v>1122</v>
      </c>
      <c r="E79" s="132">
        <f>'Raw Data'!F42</f>
        <v>1093</v>
      </c>
      <c r="F79" s="132">
        <f>'Raw Data'!G42</f>
        <v>1118</v>
      </c>
      <c r="G79" s="132">
        <f>'Raw Data'!H42</f>
        <v>1125</v>
      </c>
      <c r="H79" s="132">
        <f>'Raw Data'!M42</f>
        <v>1142</v>
      </c>
      <c r="I79" s="114"/>
      <c r="J79" s="106"/>
      <c r="K79" s="106"/>
      <c r="L79" s="106"/>
      <c r="M79" s="106"/>
      <c r="N79" s="106"/>
      <c r="O79" s="113" t="s">
        <v>430</v>
      </c>
    </row>
    <row r="80" spans="1:15" ht="15" customHeight="1" x14ac:dyDescent="0.3">
      <c r="A80" s="106"/>
      <c r="B80" s="166" t="s">
        <v>431</v>
      </c>
      <c r="C80" s="114" t="s">
        <v>111</v>
      </c>
      <c r="D80" s="171">
        <f>'Raw Data'!E42/'Raw Data'!D42 - 1</f>
        <v>-1.6652059596844904E-2</v>
      </c>
      <c r="E80" s="171">
        <f>'Raw Data'!F42/'Raw Data'!E42 - 1</f>
        <v>-2.5846702317290582E-2</v>
      </c>
      <c r="F80" s="171">
        <f>'Raw Data'!G42/'Raw Data'!F42 - 1</f>
        <v>2.2872827081427349E-2</v>
      </c>
      <c r="G80" s="171">
        <f>'Raw Data'!H42/'Raw Data'!G42 - 1</f>
        <v>6.2611806797854275E-3</v>
      </c>
      <c r="H80" s="171"/>
      <c r="I80" s="114"/>
      <c r="J80" s="106"/>
      <c r="K80" s="106"/>
      <c r="L80" s="106"/>
      <c r="M80" s="106"/>
      <c r="N80" s="106"/>
      <c r="O80" s="113" t="s">
        <v>432</v>
      </c>
    </row>
    <row r="81" spans="1:15" ht="15" customHeight="1" x14ac:dyDescent="0.3">
      <c r="A81" s="106"/>
      <c r="B81" s="166" t="s">
        <v>433</v>
      </c>
      <c r="C81" s="114" t="s">
        <v>155</v>
      </c>
      <c r="D81" s="126">
        <f>'Raw Data'!E44</f>
        <v>0.315</v>
      </c>
      <c r="E81" s="126">
        <f>'Raw Data'!F44</f>
        <v>0.46</v>
      </c>
      <c r="F81" s="126">
        <f>'Raw Data'!G44</f>
        <v>0.46</v>
      </c>
      <c r="G81" s="126">
        <f>'Raw Data'!H44</f>
        <v>0.46</v>
      </c>
      <c r="H81" s="126">
        <f>'Raw Data'!M44</f>
        <v>0.38</v>
      </c>
      <c r="I81" s="114"/>
      <c r="J81" s="106"/>
      <c r="K81" s="106"/>
      <c r="L81" s="106"/>
      <c r="M81" s="106"/>
      <c r="N81" s="106"/>
      <c r="O81" s="113" t="s">
        <v>434</v>
      </c>
    </row>
    <row r="82" spans="1:15" ht="15" customHeight="1" x14ac:dyDescent="0.3">
      <c r="A82" s="106"/>
      <c r="B82" s="166" t="s">
        <v>435</v>
      </c>
      <c r="C82" s="114" t="s">
        <v>148</v>
      </c>
      <c r="D82" s="115">
        <f>-'Raw Data'!E127</f>
        <v>461</v>
      </c>
      <c r="E82" s="115">
        <f>-'Raw Data'!F127</f>
        <v>504</v>
      </c>
      <c r="F82" s="115">
        <f>-'Raw Data'!G127</f>
        <v>513</v>
      </c>
      <c r="G82" s="115">
        <f>-'Raw Data'!H127</f>
        <v>522</v>
      </c>
      <c r="H82" s="115">
        <f>-'Raw Data'!M127</f>
        <v>437</v>
      </c>
      <c r="I82" s="114"/>
      <c r="J82" s="106"/>
      <c r="K82" s="106"/>
      <c r="L82" s="106"/>
      <c r="M82" s="106"/>
      <c r="N82" s="106"/>
      <c r="O82" s="113" t="s">
        <v>436</v>
      </c>
    </row>
    <row r="83" spans="1:15" ht="15" customHeight="1" x14ac:dyDescent="0.3">
      <c r="A83" s="106"/>
      <c r="B83" s="166" t="s">
        <v>437</v>
      </c>
      <c r="C83" s="114" t="s">
        <v>148</v>
      </c>
      <c r="D83" s="115">
        <f>-('Raw Data'!E126+'Raw Data'!E125)</f>
        <v>2432</v>
      </c>
      <c r="E83" s="115">
        <f>-('Raw Data'!F126+'Raw Data'!F125)</f>
        <v>425</v>
      </c>
      <c r="F83" s="115">
        <f>-('Raw Data'!G126+'Raw Data'!G125)</f>
        <v>300</v>
      </c>
      <c r="G83" s="115">
        <f>-('Raw Data'!H126+'Raw Data'!H125)</f>
        <v>0</v>
      </c>
      <c r="H83" s="115">
        <f>-('Raw Data'!M126+'Raw Data'!M125)</f>
        <v>1412</v>
      </c>
      <c r="I83" s="114"/>
      <c r="J83" s="106"/>
      <c r="K83" s="106"/>
      <c r="L83" s="106"/>
      <c r="M83" s="106"/>
      <c r="N83" s="106"/>
      <c r="O83" s="113" t="s">
        <v>438</v>
      </c>
    </row>
    <row r="84" spans="1:15" s="187" customFormat="1" ht="15" customHeight="1" x14ac:dyDescent="0.3">
      <c r="A84" s="106"/>
      <c r="B84" s="166" t="s">
        <v>454</v>
      </c>
      <c r="C84" s="114" t="s">
        <v>111</v>
      </c>
      <c r="D84" s="194">
        <f>D82/'Raw Data'!E34</f>
        <v>5.3067802463451136E-2</v>
      </c>
      <c r="E84" s="194">
        <f>E82/'Raw Data'!F34</f>
        <v>-8.640493742499572E-2</v>
      </c>
      <c r="F84" s="194">
        <f>F82/'Raw Data'!G34</f>
        <v>0.65938303341902316</v>
      </c>
      <c r="G84" s="194">
        <f>G82/'Raw Data'!H34</f>
        <v>6.113128000936878E-2</v>
      </c>
      <c r="H84" s="194">
        <f>H82/'Raw Data'!M34</f>
        <v>9.2451552847592454E-3</v>
      </c>
      <c r="I84" s="114"/>
      <c r="J84" s="106"/>
      <c r="K84" s="106"/>
      <c r="L84" s="106"/>
      <c r="M84" s="106"/>
      <c r="N84" s="106"/>
      <c r="O84" s="113" t="s">
        <v>455</v>
      </c>
    </row>
    <row r="85" spans="1:15" ht="15" customHeight="1" x14ac:dyDescent="0.3">
      <c r="A85" s="106"/>
      <c r="B85" s="166" t="s">
        <v>453</v>
      </c>
      <c r="C85" s="114" t="s">
        <v>111</v>
      </c>
      <c r="D85" s="171">
        <f>(D82+D83)/'Raw Data'!E34</f>
        <v>0.33302636122942325</v>
      </c>
      <c r="E85" s="171">
        <f>(E82+E83)/'Raw Data'!F34</f>
        <v>-0.15926624378535917</v>
      </c>
      <c r="F85" s="171">
        <f>(F82+F83)/'Raw Data'!G34</f>
        <v>1.044987146529563</v>
      </c>
      <c r="G85" s="171">
        <f>(G82+G83)/'Raw Data'!H34</f>
        <v>6.113128000936878E-2</v>
      </c>
      <c r="H85" s="171">
        <f>(H82+H83)/'Raw Data'!M34</f>
        <v>3.9117373275789118E-2</v>
      </c>
      <c r="I85" s="114"/>
      <c r="J85" s="106"/>
      <c r="K85" s="106"/>
      <c r="L85" s="106"/>
      <c r="M85" s="106"/>
      <c r="N85" s="106"/>
      <c r="O85" s="113" t="s">
        <v>439</v>
      </c>
    </row>
    <row r="86" spans="1:15" x14ac:dyDescent="0.3">
      <c r="A86" s="106"/>
      <c r="B86" s="106"/>
      <c r="C86" s="114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spans="1:15" x14ac:dyDescent="0.3">
      <c r="A87" s="106"/>
      <c r="B87" s="106"/>
      <c r="C87" s="114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 spans="1:15" ht="24" customHeight="1" x14ac:dyDescent="0.3">
      <c r="A88" s="106"/>
      <c r="B88" s="151" t="s">
        <v>440</v>
      </c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</row>
    <row r="89" spans="1:15" ht="15" customHeight="1" x14ac:dyDescent="0.3">
      <c r="A89" s="106"/>
      <c r="B89" s="143" t="s">
        <v>141</v>
      </c>
      <c r="C89" s="143" t="s">
        <v>107</v>
      </c>
      <c r="D89" s="144" t="s">
        <v>143</v>
      </c>
      <c r="E89" s="144" t="s">
        <v>144</v>
      </c>
      <c r="F89" s="144" t="s">
        <v>145</v>
      </c>
      <c r="G89" s="144" t="s">
        <v>146</v>
      </c>
      <c r="H89" s="144" t="s">
        <v>341</v>
      </c>
      <c r="I89" s="145"/>
      <c r="J89" s="144" t="s">
        <v>342</v>
      </c>
      <c r="K89" s="144" t="s">
        <v>343</v>
      </c>
      <c r="L89" s="144" t="s">
        <v>344</v>
      </c>
      <c r="M89" s="144"/>
      <c r="N89" s="143"/>
      <c r="O89" s="143" t="s">
        <v>345</v>
      </c>
    </row>
    <row r="90" spans="1:15" ht="15" customHeight="1" x14ac:dyDescent="0.3">
      <c r="A90" s="106"/>
      <c r="B90" s="166" t="s">
        <v>441</v>
      </c>
      <c r="C90" s="114" t="s">
        <v>148</v>
      </c>
      <c r="D90" s="115">
        <f>'Raw Data'!E51+'Raw Data'!E52+'Raw Data'!E59</f>
        <v>10978</v>
      </c>
      <c r="E90" s="115">
        <f>'Raw Data'!F51+'Raw Data'!F52+'Raw Data'!F59</f>
        <v>10438</v>
      </c>
      <c r="F90" s="115">
        <f>'Raw Data'!G51+'Raw Data'!G52+'Raw Data'!G59</f>
        <v>9152</v>
      </c>
      <c r="G90" s="115">
        <f>'Raw Data'!H51+'Raw Data'!H52+'Raw Data'!H59</f>
        <v>11936</v>
      </c>
      <c r="H90" s="115">
        <f>'Raw Data'!M51+'Raw Data'!M52+'Raw Data'!M59</f>
        <v>30128</v>
      </c>
      <c r="I90" s="114"/>
      <c r="J90" s="106"/>
      <c r="K90" s="106"/>
      <c r="L90" s="106"/>
      <c r="M90" s="106"/>
      <c r="N90" s="114"/>
      <c r="O90" s="192" t="s">
        <v>442</v>
      </c>
    </row>
    <row r="91" spans="1:15" ht="15" customHeight="1" x14ac:dyDescent="0.3">
      <c r="A91" s="106"/>
      <c r="B91" s="166" t="s">
        <v>443</v>
      </c>
      <c r="C91" s="114" t="s">
        <v>148</v>
      </c>
      <c r="D91" s="193">
        <f>'Raw Data'!E71+'Raw Data'!E75</f>
        <v>6906</v>
      </c>
      <c r="E91" s="193">
        <f>'Raw Data'!F71+'Raw Data'!F75</f>
        <v>13330</v>
      </c>
      <c r="F91" s="193">
        <f>'Raw Data'!G71+'Raw Data'!G75</f>
        <v>13397</v>
      </c>
      <c r="G91" s="193">
        <f>'Raw Data'!H71+'Raw Data'!H75</f>
        <v>14577</v>
      </c>
      <c r="H91" s="193">
        <f>'Raw Data'!M71+'Raw Data'!M75</f>
        <v>5722</v>
      </c>
      <c r="I91" s="114"/>
      <c r="J91" s="106"/>
      <c r="K91" s="106"/>
      <c r="L91" s="106"/>
      <c r="M91" s="106"/>
      <c r="N91" s="106"/>
      <c r="O91" s="113" t="s">
        <v>444</v>
      </c>
    </row>
    <row r="92" spans="1:15" ht="15" customHeight="1" x14ac:dyDescent="0.3">
      <c r="A92" s="106"/>
      <c r="B92" s="161" t="s">
        <v>445</v>
      </c>
      <c r="C92" s="162" t="s">
        <v>148</v>
      </c>
      <c r="D92" s="191">
        <f>D90-D91</f>
        <v>4072</v>
      </c>
      <c r="E92" s="191">
        <f t="shared" ref="E92:H92" si="7">E90-E91</f>
        <v>-2892</v>
      </c>
      <c r="F92" s="191">
        <f t="shared" si="7"/>
        <v>-4245</v>
      </c>
      <c r="G92" s="191">
        <f t="shared" si="7"/>
        <v>-2641</v>
      </c>
      <c r="H92" s="191">
        <f t="shared" si="7"/>
        <v>24406</v>
      </c>
      <c r="I92" s="114"/>
      <c r="J92" s="106"/>
      <c r="K92" s="106"/>
      <c r="L92" s="106"/>
      <c r="M92" s="106"/>
      <c r="N92" s="106"/>
      <c r="O92" s="113" t="s">
        <v>446</v>
      </c>
    </row>
    <row r="93" spans="1:15" ht="15" customHeight="1" x14ac:dyDescent="0.3">
      <c r="A93" s="106"/>
      <c r="B93" s="166" t="s">
        <v>447</v>
      </c>
      <c r="C93" s="114" t="s">
        <v>113</v>
      </c>
      <c r="D93" s="175">
        <f>D91/D38</f>
        <v>0.41063146628612202</v>
      </c>
      <c r="E93" s="175">
        <f>E91/E38</f>
        <v>6.6285430134261558</v>
      </c>
      <c r="F93" s="175">
        <f>F91/F38</f>
        <v>1.4747908410391899</v>
      </c>
      <c r="G93" s="175">
        <f>G91/G38</f>
        <v>0.80438141485487258</v>
      </c>
      <c r="H93" s="175">
        <f>H91/(H38*$D$8/H$8)</f>
        <v>6.8529606663679118E-2</v>
      </c>
      <c r="I93" s="114"/>
      <c r="J93" s="106"/>
      <c r="K93" s="106"/>
      <c r="L93" s="106"/>
      <c r="M93" s="106"/>
      <c r="N93" s="106"/>
      <c r="O93" s="113" t="s">
        <v>448</v>
      </c>
    </row>
  </sheetData>
  <pageMargins left="0.7" right="0.7" top="0.75" bottom="0.75" header="0.3" footer="0.3"/>
  <ignoredErrors>
    <ignoredError sqref="D35:G3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50B3-BAC9-44D1-9089-854CCD18267D}">
  <sheetPr>
    <tabColor theme="2" tint="-0.749992370372631"/>
    <pageSetUpPr fitToPage="1"/>
  </sheetPr>
  <dimension ref="B1:Q362"/>
  <sheetViews>
    <sheetView showGridLines="0" topLeftCell="A193" zoomScale="130" zoomScaleNormal="130" workbookViewId="0">
      <selection activeCell="K215" sqref="K215"/>
    </sheetView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34.77734375" customWidth="1"/>
    <col min="5" max="5" width="9.6640625" customWidth="1"/>
    <col min="6" max="16" width="11.109375" customWidth="1"/>
  </cols>
  <sheetData>
    <row r="1" spans="2:17" ht="12.75" customHeight="1" x14ac:dyDescent="0.3">
      <c r="P1" s="219"/>
    </row>
    <row r="2" spans="2:17" ht="22.8" customHeight="1" x14ac:dyDescent="0.4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2:17" ht="17.399999999999999" customHeight="1" x14ac:dyDescent="0.35">
      <c r="B3" s="221" t="s">
        <v>494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2:17" ht="3" customHeight="1" x14ac:dyDescent="0.35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</row>
    <row r="5" spans="2:17" ht="12.75" customHeight="1" x14ac:dyDescent="0.3"/>
    <row r="6" spans="2:17" x14ac:dyDescent="0.3">
      <c r="F6" s="223" t="s">
        <v>495</v>
      </c>
      <c r="G6" s="224"/>
      <c r="H6" s="224"/>
      <c r="I6" s="224"/>
      <c r="J6" s="223" t="s">
        <v>126</v>
      </c>
      <c r="K6" s="224"/>
      <c r="L6" s="224"/>
      <c r="M6" s="224"/>
      <c r="N6" s="224"/>
      <c r="O6" s="224"/>
      <c r="P6" s="224"/>
    </row>
    <row r="7" spans="2:17" x14ac:dyDescent="0.3">
      <c r="E7" s="225" t="s">
        <v>107</v>
      </c>
      <c r="F7" s="240" t="str">
        <f>'Raw Data'!E144</f>
        <v>FY2022</v>
      </c>
      <c r="G7" s="240" t="str">
        <f>'Raw Data'!F144</f>
        <v>FY2023</v>
      </c>
      <c r="H7" s="240" t="str">
        <f>'Raw Data'!G144</f>
        <v>FY2024</v>
      </c>
      <c r="I7" s="240" t="str">
        <f>'Raw Data'!H144</f>
        <v>FY2025</v>
      </c>
      <c r="J7" s="240" t="s">
        <v>82</v>
      </c>
      <c r="K7" s="240" t="str">
        <f>Assumptions!K24</f>
        <v>FY2027E</v>
      </c>
      <c r="L7" s="240" t="str">
        <f>Assumptions!L24</f>
        <v>FY2028E</v>
      </c>
      <c r="M7" s="240" t="str">
        <f>Assumptions!M24</f>
        <v>FY2029E</v>
      </c>
      <c r="N7" s="240" t="str">
        <f>Assumptions!N24</f>
        <v>FY2030E</v>
      </c>
      <c r="O7" s="240" t="str">
        <f>Assumptions!O24</f>
        <v>FY2031E</v>
      </c>
      <c r="P7" s="240" t="str">
        <f>Assumptions!P24</f>
        <v>FY2032E</v>
      </c>
    </row>
    <row r="8" spans="2:17" ht="6" customHeight="1" x14ac:dyDescent="0.3"/>
    <row r="9" spans="2:17" x14ac:dyDescent="0.3">
      <c r="C9" s="5" t="s">
        <v>250</v>
      </c>
    </row>
    <row r="10" spans="2:17" x14ac:dyDescent="0.3">
      <c r="C10" s="227"/>
      <c r="D10" s="227" t="s">
        <v>528</v>
      </c>
      <c r="E10" s="228" t="s">
        <v>529</v>
      </c>
      <c r="F10" s="229">
        <f>'Historical Drivers'!D23</f>
        <v>0.11</v>
      </c>
      <c r="G10" s="229">
        <f>'Historical Drivers'!E23</f>
        <v>-0.08</v>
      </c>
      <c r="H10" s="229">
        <f>'Historical Drivers'!F23</f>
        <v>0.45</v>
      </c>
      <c r="I10" s="229">
        <f>'Historical Drivers'!G23</f>
        <v>0.15</v>
      </c>
      <c r="J10" s="229"/>
      <c r="K10" s="229">
        <f>Assumptions!K36</f>
        <v>0.1</v>
      </c>
      <c r="L10" s="229">
        <f>Assumptions!L36</f>
        <v>0.15</v>
      </c>
      <c r="M10" s="229">
        <f>Assumptions!M36</f>
        <v>0.16</v>
      </c>
      <c r="N10" s="229">
        <f>Assumptions!N36</f>
        <v>0.15</v>
      </c>
      <c r="O10" s="229">
        <f>Assumptions!O36</f>
        <v>0.15</v>
      </c>
      <c r="P10" s="229">
        <f>Assumptions!P36</f>
        <v>0.15</v>
      </c>
    </row>
    <row r="11" spans="2:17" x14ac:dyDescent="0.3">
      <c r="C11" s="227"/>
      <c r="D11" s="227" t="s">
        <v>530</v>
      </c>
      <c r="E11" s="228" t="s">
        <v>529</v>
      </c>
      <c r="F11" s="229">
        <f>'Historical Drivers'!D24</f>
        <v>0</v>
      </c>
      <c r="G11" s="229">
        <f>'Historical Drivers'!E24</f>
        <v>-0.48</v>
      </c>
      <c r="H11" s="229">
        <f>'Historical Drivers'!F24</f>
        <v>0.12</v>
      </c>
      <c r="I11" s="229">
        <f>'Historical Drivers'!G24</f>
        <v>0.42</v>
      </c>
      <c r="J11" s="229"/>
      <c r="K11" s="229">
        <f>Assumptions!K26</f>
        <v>0.05</v>
      </c>
      <c r="L11" s="229">
        <f>Assumptions!L26</f>
        <v>-0.45</v>
      </c>
      <c r="M11" s="229">
        <f>Assumptions!M26</f>
        <v>-0.35</v>
      </c>
      <c r="N11" s="229">
        <f>Assumptions!N26</f>
        <v>-0.1</v>
      </c>
      <c r="O11" s="229">
        <f>Assumptions!O26</f>
        <v>-0.15</v>
      </c>
      <c r="P11" s="229">
        <f>Assumptions!P26</f>
        <v>-0.15</v>
      </c>
    </row>
    <row r="12" spans="2:17" x14ac:dyDescent="0.3">
      <c r="C12" s="227"/>
      <c r="D12" s="227" t="s">
        <v>531</v>
      </c>
      <c r="E12" s="228" t="s">
        <v>532</v>
      </c>
      <c r="F12" s="230"/>
      <c r="G12" s="230"/>
      <c r="H12" s="230"/>
      <c r="I12" s="230"/>
      <c r="J12" s="243">
        <v>100</v>
      </c>
      <c r="K12" s="230">
        <f>J12*(1+K10)</f>
        <v>110.00000000000001</v>
      </c>
      <c r="L12" s="230">
        <f t="shared" ref="L12:P12" si="0">K12*(1+L10)</f>
        <v>126.5</v>
      </c>
      <c r="M12" s="230">
        <f t="shared" si="0"/>
        <v>146.73999999999998</v>
      </c>
      <c r="N12" s="230">
        <f t="shared" si="0"/>
        <v>168.75099999999998</v>
      </c>
      <c r="O12" s="230">
        <f t="shared" si="0"/>
        <v>194.06364999999997</v>
      </c>
      <c r="P12" s="230">
        <f t="shared" si="0"/>
        <v>223.17319749999996</v>
      </c>
    </row>
    <row r="13" spans="2:17" x14ac:dyDescent="0.3">
      <c r="C13" s="227"/>
      <c r="D13" s="227" t="s">
        <v>524</v>
      </c>
      <c r="E13" s="228" t="s">
        <v>532</v>
      </c>
      <c r="F13" s="230"/>
      <c r="G13" s="230"/>
      <c r="H13" s="230"/>
      <c r="I13" s="230"/>
      <c r="J13" s="243">
        <v>100</v>
      </c>
      <c r="K13" s="230">
        <f>J13*(1+K11)</f>
        <v>105</v>
      </c>
      <c r="L13" s="230">
        <f t="shared" ref="L13:P13" si="1">K13*(1+L11)</f>
        <v>57.750000000000007</v>
      </c>
      <c r="M13" s="230">
        <f t="shared" si="1"/>
        <v>37.537500000000009</v>
      </c>
      <c r="N13" s="230">
        <f t="shared" si="1"/>
        <v>33.783750000000012</v>
      </c>
      <c r="O13" s="230">
        <f t="shared" si="1"/>
        <v>28.716187500000011</v>
      </c>
      <c r="P13" s="230">
        <f t="shared" si="1"/>
        <v>24.40875937500001</v>
      </c>
    </row>
    <row r="14" spans="2:17" x14ac:dyDescent="0.3">
      <c r="C14" s="226"/>
      <c r="D14" s="226" t="s">
        <v>354</v>
      </c>
      <c r="E14" s="231" t="s">
        <v>505</v>
      </c>
      <c r="F14" s="232">
        <f>'Historical Drivers'!D16</f>
        <v>22386</v>
      </c>
      <c r="G14" s="232">
        <f>'Historical Drivers'!E16</f>
        <v>10978</v>
      </c>
      <c r="H14" s="232">
        <f>'Historical Drivers'!F16</f>
        <v>17603</v>
      </c>
      <c r="I14" s="232">
        <f>'Historical Drivers'!G16</f>
        <v>28578</v>
      </c>
      <c r="J14" s="232">
        <f>'Raw Data'!M159+(Assumptions!J12*Assumptions!J18)</f>
        <v>98692.639135468926</v>
      </c>
      <c r="K14" s="232">
        <f>$J14*(K12/$J12)*(K13/$J13)</f>
        <v>113989.99820146663</v>
      </c>
      <c r="L14" s="232">
        <f t="shared" ref="L14:P14" si="2">$J14*(L12/$J12)*(L13/$J13)</f>
        <v>72098.673862427648</v>
      </c>
      <c r="M14" s="232">
        <f t="shared" si="2"/>
        <v>54362.400092270436</v>
      </c>
      <c r="N14" s="232">
        <f t="shared" si="2"/>
        <v>56265.084095499915</v>
      </c>
      <c r="O14" s="232">
        <f t="shared" si="2"/>
        <v>54999.119703351163</v>
      </c>
      <c r="P14" s="232">
        <f t="shared" si="2"/>
        <v>53761.639510025765</v>
      </c>
      <c r="Q14" t="s">
        <v>560</v>
      </c>
    </row>
    <row r="15" spans="2:17" x14ac:dyDescent="0.3">
      <c r="C15" s="227"/>
      <c r="D15" s="227" t="s">
        <v>525</v>
      </c>
      <c r="E15" s="228" t="s">
        <v>529</v>
      </c>
      <c r="F15" s="233">
        <f>'Historical Drivers'!D20</f>
        <v>0.11712161285493283</v>
      </c>
      <c r="G15" s="233">
        <f>'Historical Drivers'!E20</f>
        <v>-0.5096042169212901</v>
      </c>
      <c r="H15" s="233">
        <f>'Historical Drivers'!F20</f>
        <v>0.60347968664601925</v>
      </c>
      <c r="I15" s="233">
        <f>'Historical Drivers'!G20</f>
        <v>0.62347327160143151</v>
      </c>
      <c r="J15" s="233">
        <f>J14/I14 - 1</f>
        <v>2.4534480766837752</v>
      </c>
      <c r="K15" s="233">
        <f>K14/J14 - 1</f>
        <v>0.15500000000000025</v>
      </c>
      <c r="L15" s="233">
        <f t="shared" ref="L15:P15" si="3">L14/K14 - 1</f>
        <v>-0.36749999999999994</v>
      </c>
      <c r="M15" s="233">
        <f t="shared" si="3"/>
        <v>-0.24600000000000011</v>
      </c>
      <c r="N15" s="233">
        <f t="shared" si="3"/>
        <v>3.5000000000000142E-2</v>
      </c>
      <c r="O15" s="233">
        <f t="shared" si="3"/>
        <v>-2.2500000000000075E-2</v>
      </c>
      <c r="P15" s="233">
        <f t="shared" si="3"/>
        <v>-2.2499999999999964E-2</v>
      </c>
    </row>
    <row r="16" spans="2:17" ht="6" customHeight="1" x14ac:dyDescent="0.3">
      <c r="B16" s="234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</row>
    <row r="17" spans="2:17" x14ac:dyDescent="0.3">
      <c r="C17" s="5" t="s">
        <v>251</v>
      </c>
    </row>
    <row r="18" spans="2:17" x14ac:dyDescent="0.3">
      <c r="C18" s="227"/>
      <c r="D18" s="227" t="s">
        <v>528</v>
      </c>
      <c r="E18" s="228" t="s">
        <v>529</v>
      </c>
      <c r="F18" s="229">
        <f>'Historical Drivers'!D25</f>
        <v>0.08</v>
      </c>
      <c r="G18" s="229">
        <f>'Historical Drivers'!E25</f>
        <v>0.08</v>
      </c>
      <c r="H18" s="229">
        <f>'Historical Drivers'!F25</f>
        <v>0.32</v>
      </c>
      <c r="I18" s="229">
        <f>'Historical Drivers'!G25</f>
        <v>0.18</v>
      </c>
      <c r="J18" s="229"/>
      <c r="K18" s="229">
        <f>Assumptions!K41</f>
        <v>0.1</v>
      </c>
      <c r="L18" s="229">
        <f>Assumptions!L41</f>
        <v>0.15</v>
      </c>
      <c r="M18" s="229">
        <f>Assumptions!M41</f>
        <v>0.2</v>
      </c>
      <c r="N18" s="229">
        <f>Assumptions!N41</f>
        <v>0.18</v>
      </c>
      <c r="O18" s="229">
        <f>Assumptions!O41</f>
        <v>0.18</v>
      </c>
      <c r="P18" s="229">
        <f>Assumptions!P41</f>
        <v>0.18</v>
      </c>
    </row>
    <row r="19" spans="2:17" x14ac:dyDescent="0.3">
      <c r="C19" s="227"/>
      <c r="D19" s="227" t="s">
        <v>530</v>
      </c>
      <c r="E19" s="228" t="s">
        <v>529</v>
      </c>
      <c r="F19" s="229">
        <f>'Historical Drivers'!D26</f>
        <v>0.02</v>
      </c>
      <c r="G19" s="229">
        <f>'Historical Drivers'!E26</f>
        <v>-0.52</v>
      </c>
      <c r="H19" s="229">
        <f>'Historical Drivers'!F26</f>
        <v>0.32</v>
      </c>
      <c r="I19" s="229">
        <f>'Historical Drivers'!G26</f>
        <v>0</v>
      </c>
      <c r="J19" s="229"/>
      <c r="K19" s="229">
        <f>Assumptions!K31</f>
        <v>-0.05</v>
      </c>
      <c r="L19" s="229">
        <f>Assumptions!L31</f>
        <v>-0.45</v>
      </c>
      <c r="M19" s="229">
        <f>Assumptions!M31</f>
        <v>-0.35</v>
      </c>
      <c r="N19" s="229">
        <f>Assumptions!N31</f>
        <v>-0.1</v>
      </c>
      <c r="O19" s="229">
        <f>Assumptions!O31</f>
        <v>-0.18</v>
      </c>
      <c r="P19" s="229">
        <f>Assumptions!P31</f>
        <v>-0.18</v>
      </c>
    </row>
    <row r="20" spans="2:17" x14ac:dyDescent="0.3">
      <c r="C20" s="227"/>
      <c r="D20" s="227" t="s">
        <v>531</v>
      </c>
      <c r="E20" s="228" t="s">
        <v>532</v>
      </c>
      <c r="F20" s="230"/>
      <c r="G20" s="230"/>
      <c r="H20" s="230"/>
      <c r="I20" s="230"/>
      <c r="J20" s="243">
        <v>100</v>
      </c>
      <c r="K20" s="230">
        <f>J20*(1+K18)</f>
        <v>110.00000000000001</v>
      </c>
      <c r="L20" s="230">
        <f t="shared" ref="L20:P20" si="4">K20*(1+L18)</f>
        <v>126.5</v>
      </c>
      <c r="M20" s="230">
        <f t="shared" si="4"/>
        <v>151.79999999999998</v>
      </c>
      <c r="N20" s="230">
        <f t="shared" si="4"/>
        <v>179.12399999999997</v>
      </c>
      <c r="O20" s="230">
        <f t="shared" si="4"/>
        <v>211.36631999999994</v>
      </c>
      <c r="P20" s="230">
        <f t="shared" si="4"/>
        <v>249.41225759999992</v>
      </c>
    </row>
    <row r="21" spans="2:17" x14ac:dyDescent="0.3">
      <c r="C21" s="227"/>
      <c r="D21" s="227" t="s">
        <v>524</v>
      </c>
      <c r="E21" s="228" t="s">
        <v>532</v>
      </c>
      <c r="F21" s="230"/>
      <c r="G21" s="230"/>
      <c r="H21" s="230"/>
      <c r="I21" s="230"/>
      <c r="J21" s="243">
        <v>100</v>
      </c>
      <c r="K21" s="230">
        <f>J21*(1+K19)</f>
        <v>95</v>
      </c>
      <c r="L21" s="230">
        <f t="shared" ref="L21:P21" si="5">K21*(1+L19)</f>
        <v>52.250000000000007</v>
      </c>
      <c r="M21" s="230">
        <f t="shared" si="5"/>
        <v>33.962500000000006</v>
      </c>
      <c r="N21" s="230">
        <f t="shared" si="5"/>
        <v>30.566250000000007</v>
      </c>
      <c r="O21" s="230">
        <f t="shared" si="5"/>
        <v>25.064325000000007</v>
      </c>
      <c r="P21" s="230">
        <f t="shared" si="5"/>
        <v>20.552746500000008</v>
      </c>
    </row>
    <row r="22" spans="2:17" x14ac:dyDescent="0.3">
      <c r="C22" s="226"/>
      <c r="D22" s="226" t="s">
        <v>356</v>
      </c>
      <c r="E22" s="231" t="s">
        <v>505</v>
      </c>
      <c r="F22" s="232">
        <f>'Historical Drivers'!D17</f>
        <v>7811</v>
      </c>
      <c r="G22" s="232">
        <f>'Historical Drivers'!E17</f>
        <v>4206</v>
      </c>
      <c r="H22" s="232">
        <f>'Historical Drivers'!F17</f>
        <v>7227</v>
      </c>
      <c r="I22" s="232">
        <f>'Historical Drivers'!G17</f>
        <v>8503</v>
      </c>
      <c r="J22" s="232">
        <f>'Raw Data'!M160+(Assumptions!J12*Assumptions!J19)</f>
        <v>29675.232728676187</v>
      </c>
      <c r="K22" s="232">
        <f>$J22*(K20/$J20)*(K21/$J21)</f>
        <v>31010.618201466616</v>
      </c>
      <c r="L22" s="232">
        <f t="shared" ref="L22:P22" si="6">$J22*(L20/$J20)*(L21/$J21)</f>
        <v>19614.216012427638</v>
      </c>
      <c r="M22" s="232">
        <f t="shared" si="6"/>
        <v>15299.088489693557</v>
      </c>
      <c r="N22" s="232">
        <f t="shared" si="6"/>
        <v>16247.631976054556</v>
      </c>
      <c r="O22" s="232">
        <f t="shared" si="6"/>
        <v>15721.208700030389</v>
      </c>
      <c r="P22" s="232">
        <f t="shared" si="6"/>
        <v>15211.841538149403</v>
      </c>
      <c r="Q22" s="244" t="s">
        <v>560</v>
      </c>
    </row>
    <row r="23" spans="2:17" x14ac:dyDescent="0.3">
      <c r="C23" s="227"/>
      <c r="D23" s="227" t="s">
        <v>525</v>
      </c>
      <c r="E23" s="228" t="s">
        <v>529</v>
      </c>
      <c r="F23" s="233">
        <f>'Historical Drivers'!D21</f>
        <v>0.11474240045668616</v>
      </c>
      <c r="G23" s="233">
        <f>'Historical Drivers'!E21</f>
        <v>-0.46152861349379082</v>
      </c>
      <c r="H23" s="233">
        <f>'Historical Drivers'!F21</f>
        <v>0.71825962910128394</v>
      </c>
      <c r="I23" s="233">
        <f>'Historical Drivers'!G21</f>
        <v>0.17656012176560121</v>
      </c>
      <c r="J23" s="233">
        <f>J22/I22 - 1</f>
        <v>2.4899720955752307</v>
      </c>
      <c r="K23" s="233">
        <f>K22/J22 - 1</f>
        <v>4.4999999999999929E-2</v>
      </c>
      <c r="L23" s="233">
        <f t="shared" ref="L23:P23" si="7">L22/K22 - 1</f>
        <v>-0.36749999999999994</v>
      </c>
      <c r="M23" s="233">
        <f t="shared" si="7"/>
        <v>-0.22000000000000008</v>
      </c>
      <c r="N23" s="233">
        <f t="shared" si="7"/>
        <v>6.1999999999999833E-2</v>
      </c>
      <c r="O23" s="233">
        <f t="shared" si="7"/>
        <v>-3.2399999999999984E-2</v>
      </c>
      <c r="P23" s="233">
        <f t="shared" si="7"/>
        <v>-3.2400000000000095E-2</v>
      </c>
    </row>
    <row r="24" spans="2:17" ht="6" customHeight="1" x14ac:dyDescent="0.3"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</row>
    <row r="25" spans="2:17" x14ac:dyDescent="0.3">
      <c r="C25" s="5" t="s">
        <v>252</v>
      </c>
    </row>
    <row r="26" spans="2:17" x14ac:dyDescent="0.3">
      <c r="C26" s="227"/>
      <c r="D26" s="227" t="s">
        <v>479</v>
      </c>
      <c r="E26" s="228" t="s">
        <v>529</v>
      </c>
      <c r="F26" s="229">
        <f>F27/(F14+F22)</f>
        <v>1.8578004437526906E-2</v>
      </c>
      <c r="G26" s="229">
        <f t="shared" ref="G26:I26" si="8">G27/(G14+G22)</f>
        <v>2.3445732349841941E-2</v>
      </c>
      <c r="H26" s="229">
        <f t="shared" si="8"/>
        <v>1.1316955296012888E-2</v>
      </c>
      <c r="I26" s="229">
        <f t="shared" si="8"/>
        <v>8.009492732126965E-3</v>
      </c>
      <c r="J26" s="229">
        <f>J27/(J14+J22)</f>
        <v>4.6049539286628343E-3</v>
      </c>
      <c r="K26" s="229">
        <f>Assumptions!K56</f>
        <v>4.5999999999999999E-3</v>
      </c>
      <c r="L26" s="229">
        <f>Assumptions!L56</f>
        <v>4.5999999999999999E-3</v>
      </c>
      <c r="M26" s="229">
        <f>Assumptions!M56</f>
        <v>4.5999999999999999E-3</v>
      </c>
      <c r="N26" s="229">
        <f>Assumptions!N56</f>
        <v>4.5999999999999999E-3</v>
      </c>
      <c r="O26" s="229">
        <f>Assumptions!O56</f>
        <v>4.5999999999999999E-3</v>
      </c>
      <c r="P26" s="229">
        <f>Assumptions!P56</f>
        <v>4.5999999999999999E-3</v>
      </c>
    </row>
    <row r="27" spans="2:17" x14ac:dyDescent="0.3">
      <c r="C27" s="226"/>
      <c r="D27" s="226" t="s">
        <v>526</v>
      </c>
      <c r="E27" s="231" t="s">
        <v>505</v>
      </c>
      <c r="F27" s="232">
        <f>'Raw Data'!E161</f>
        <v>561</v>
      </c>
      <c r="G27" s="232">
        <f>'Raw Data'!F161</f>
        <v>356</v>
      </c>
      <c r="H27" s="232">
        <f>'Raw Data'!G161</f>
        <v>281</v>
      </c>
      <c r="I27" s="232">
        <f>'Raw Data'!H161</f>
        <v>297</v>
      </c>
      <c r="J27" s="232">
        <f>'Raw Data'!M161 + (Assumptions!J12*Assumptions!J20)</f>
        <v>591.12813585488232</v>
      </c>
      <c r="K27" s="232">
        <f>K26*(K14+K22)</f>
        <v>667.00283545349293</v>
      </c>
      <c r="L27" s="232">
        <f t="shared" ref="L27:P27" si="9">L26*(L14+L22)</f>
        <v>421.87929342433432</v>
      </c>
      <c r="M27" s="232">
        <f t="shared" si="9"/>
        <v>320.44284747703432</v>
      </c>
      <c r="N27" s="232">
        <f t="shared" si="9"/>
        <v>333.55849392915059</v>
      </c>
      <c r="O27" s="232">
        <f t="shared" si="9"/>
        <v>325.31351065555515</v>
      </c>
      <c r="P27" s="232">
        <f t="shared" si="9"/>
        <v>317.27801282160573</v>
      </c>
    </row>
    <row r="28" spans="2:17" ht="6" customHeight="1" x14ac:dyDescent="0.3"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</row>
    <row r="29" spans="2:17" x14ac:dyDescent="0.3">
      <c r="C29" s="5" t="s">
        <v>527</v>
      </c>
      <c r="G29" s="242"/>
      <c r="H29" s="242"/>
      <c r="I29" s="242"/>
    </row>
    <row r="30" spans="2:17" x14ac:dyDescent="0.3">
      <c r="C30" s="226"/>
      <c r="D30" s="226" t="s">
        <v>533</v>
      </c>
      <c r="E30" s="231" t="s">
        <v>505</v>
      </c>
      <c r="F30" s="235">
        <f>F14+F22+F27</f>
        <v>30758</v>
      </c>
      <c r="G30" s="235">
        <f t="shared" ref="G30:P30" si="10">G14+G22+G27</f>
        <v>15540</v>
      </c>
      <c r="H30" s="235">
        <f t="shared" si="10"/>
        <v>25111</v>
      </c>
      <c r="I30" s="235">
        <f t="shared" si="10"/>
        <v>37378</v>
      </c>
      <c r="J30" s="235">
        <f t="shared" si="10"/>
        <v>128959</v>
      </c>
      <c r="K30" s="235">
        <f t="shared" si="10"/>
        <v>145667.61923838675</v>
      </c>
      <c r="L30" s="235">
        <f t="shared" si="10"/>
        <v>92134.769168279629</v>
      </c>
      <c r="M30" s="235">
        <f t="shared" si="10"/>
        <v>69981.931429441029</v>
      </c>
      <c r="N30" s="235">
        <f t="shared" si="10"/>
        <v>72846.274565483618</v>
      </c>
      <c r="O30" s="235">
        <f t="shared" si="10"/>
        <v>71045.641914037114</v>
      </c>
      <c r="P30" s="235">
        <f t="shared" si="10"/>
        <v>69290.759060996774</v>
      </c>
    </row>
    <row r="31" spans="2:17" x14ac:dyDescent="0.3">
      <c r="C31" s="227"/>
      <c r="D31" s="227" t="s">
        <v>525</v>
      </c>
      <c r="E31" s="228" t="s">
        <v>529</v>
      </c>
      <c r="F31" s="233">
        <f>'Historical Drivers'!D14</f>
        <v>0.11019671539433307</v>
      </c>
      <c r="G31" s="233">
        <f>'Historical Drivers'!E14</f>
        <v>-0.4947655894401457</v>
      </c>
      <c r="H31" s="233">
        <f>'Historical Drivers'!F14</f>
        <v>0.61589446589446584</v>
      </c>
      <c r="I31" s="233">
        <f>'Historical Drivers'!G14</f>
        <v>0.48851101111066852</v>
      </c>
      <c r="J31" s="233">
        <f>J30/I30 - 1</f>
        <v>2.450131093156402</v>
      </c>
      <c r="K31" s="233">
        <f t="shared" ref="K31:P31" si="11">K30/J30 - 1</f>
        <v>0.12956535983054107</v>
      </c>
      <c r="L31" s="233">
        <f t="shared" si="11"/>
        <v>-0.36749999999999994</v>
      </c>
      <c r="M31" s="233">
        <f t="shared" si="11"/>
        <v>-0.24043949899497252</v>
      </c>
      <c r="N31" s="233">
        <f t="shared" si="11"/>
        <v>4.0929752545205922E-2</v>
      </c>
      <c r="O31" s="233">
        <f t="shared" si="11"/>
        <v>-2.4718253091005504E-2</v>
      </c>
      <c r="P31" s="233">
        <f t="shared" si="11"/>
        <v>-2.4700781156480889E-2</v>
      </c>
    </row>
    <row r="32" spans="2:17" x14ac:dyDescent="0.3">
      <c r="C32" s="227"/>
      <c r="D32" s="227" t="s">
        <v>358</v>
      </c>
      <c r="E32" s="228" t="s">
        <v>529</v>
      </c>
      <c r="F32" s="233">
        <f>F14/F30</f>
        <v>0.72781065088757402</v>
      </c>
      <c r="G32" s="233">
        <f t="shared" ref="G32:I32" si="12">G14/G30</f>
        <v>0.70643500643500645</v>
      </c>
      <c r="H32" s="233">
        <f t="shared" si="12"/>
        <v>0.70100752658197607</v>
      </c>
      <c r="I32" s="233">
        <f t="shared" si="12"/>
        <v>0.76456739258387285</v>
      </c>
      <c r="J32" s="233">
        <f>J14/J30</f>
        <v>0.76530245376801098</v>
      </c>
      <c r="K32" s="233">
        <f t="shared" ref="K32:P32" si="13">K14/K30</f>
        <v>0.78253491611557591</v>
      </c>
      <c r="L32" s="233">
        <f t="shared" si="13"/>
        <v>0.78253491611557591</v>
      </c>
      <c r="M32" s="233">
        <f t="shared" si="13"/>
        <v>0.77680622671983679</v>
      </c>
      <c r="N32" s="233">
        <f t="shared" si="13"/>
        <v>0.77238107825159419</v>
      </c>
      <c r="O32" s="233">
        <f t="shared" si="13"/>
        <v>0.77413783902323363</v>
      </c>
      <c r="P32" s="233">
        <f t="shared" si="13"/>
        <v>0.77588469571677376</v>
      </c>
    </row>
    <row r="33" spans="2:16" x14ac:dyDescent="0.3">
      <c r="C33" s="227"/>
      <c r="D33" s="227" t="s">
        <v>360</v>
      </c>
      <c r="E33" s="228" t="s">
        <v>529</v>
      </c>
      <c r="F33" s="233">
        <f>F22/F30</f>
        <v>0.25395019182001433</v>
      </c>
      <c r="G33" s="233">
        <f t="shared" ref="G33:I33" si="14">G22/G30</f>
        <v>0.27065637065637066</v>
      </c>
      <c r="H33" s="233">
        <f t="shared" si="14"/>
        <v>0.28780215841663015</v>
      </c>
      <c r="I33" s="233">
        <f t="shared" si="14"/>
        <v>0.22748675691583284</v>
      </c>
      <c r="J33" s="233">
        <f>J22/J30</f>
        <v>0.23011370070081333</v>
      </c>
      <c r="K33" s="233">
        <f t="shared" ref="K33:P33" si="15">K22/K30</f>
        <v>0.2128861469941194</v>
      </c>
      <c r="L33" s="233">
        <f t="shared" si="15"/>
        <v>0.2128861469941194</v>
      </c>
      <c r="M33" s="233">
        <f t="shared" si="15"/>
        <v>0.21861483638985865</v>
      </c>
      <c r="N33" s="233">
        <f t="shared" si="15"/>
        <v>0.22303998485810131</v>
      </c>
      <c r="O33" s="233">
        <f t="shared" si="15"/>
        <v>0.22128322408646167</v>
      </c>
      <c r="P33" s="233">
        <f t="shared" si="15"/>
        <v>0.21953636739292165</v>
      </c>
    </row>
    <row r="34" spans="2:16" x14ac:dyDescent="0.3">
      <c r="C34" s="227"/>
      <c r="D34" s="227" t="s">
        <v>534</v>
      </c>
      <c r="E34" s="228" t="s">
        <v>529</v>
      </c>
      <c r="F34" s="233">
        <f>F27/F30</f>
        <v>1.8239157292411729E-2</v>
      </c>
      <c r="G34" s="233">
        <f t="shared" ref="G34:I34" si="16">G27/G30</f>
        <v>2.290862290862291E-2</v>
      </c>
      <c r="H34" s="233">
        <f t="shared" si="16"/>
        <v>1.1190315001393811E-2</v>
      </c>
      <c r="I34" s="233">
        <f t="shared" si="16"/>
        <v>7.9458505002942912E-3</v>
      </c>
      <c r="J34" s="233">
        <f>J27/J30</f>
        <v>4.5838455311756629E-3</v>
      </c>
      <c r="K34" s="233">
        <f t="shared" ref="K34:P34" si="17">K27/K30</f>
        <v>4.5789368903045987E-3</v>
      </c>
      <c r="L34" s="233">
        <f t="shared" si="17"/>
        <v>4.5789368903045987E-3</v>
      </c>
      <c r="M34" s="233">
        <f t="shared" si="17"/>
        <v>4.5789368903045979E-3</v>
      </c>
      <c r="N34" s="233">
        <f t="shared" si="17"/>
        <v>4.5789368903045996E-3</v>
      </c>
      <c r="O34" s="233">
        <f t="shared" si="17"/>
        <v>4.5789368903045987E-3</v>
      </c>
      <c r="P34" s="233">
        <f t="shared" si="17"/>
        <v>4.5789368903045979E-3</v>
      </c>
    </row>
    <row r="35" spans="2:16" ht="12.75" customHeight="1" x14ac:dyDescent="0.3"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</row>
    <row r="38" spans="2:16" ht="12.75" customHeight="1" x14ac:dyDescent="0.3">
      <c r="P38" s="219"/>
    </row>
    <row r="39" spans="2:16" ht="22.8" customHeight="1" x14ac:dyDescent="0.45"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</row>
    <row r="40" spans="2:16" ht="17.399999999999999" customHeight="1" x14ac:dyDescent="0.35">
      <c r="B40" s="221" t="s">
        <v>496</v>
      </c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</row>
    <row r="41" spans="2:16" ht="3" customHeight="1" x14ac:dyDescent="0.35"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</row>
    <row r="42" spans="2:16" ht="12.75" customHeight="1" x14ac:dyDescent="0.3"/>
    <row r="43" spans="2:16" x14ac:dyDescent="0.3">
      <c r="F43" s="223" t="s">
        <v>495</v>
      </c>
      <c r="G43" s="224"/>
      <c r="H43" s="224"/>
      <c r="I43" s="224"/>
      <c r="J43" s="223" t="s">
        <v>126</v>
      </c>
      <c r="K43" s="224"/>
      <c r="L43" s="224"/>
      <c r="M43" s="224"/>
      <c r="N43" s="224"/>
      <c r="O43" s="224"/>
      <c r="P43" s="224"/>
    </row>
    <row r="44" spans="2:16" x14ac:dyDescent="0.3">
      <c r="E44" s="225" t="s">
        <v>107</v>
      </c>
      <c r="F44" s="240" t="str">
        <f t="shared" ref="F44:P44" si="18">F7</f>
        <v>FY2022</v>
      </c>
      <c r="G44" s="240" t="str">
        <f t="shared" si="18"/>
        <v>FY2023</v>
      </c>
      <c r="H44" s="240" t="str">
        <f t="shared" si="18"/>
        <v>FY2024</v>
      </c>
      <c r="I44" s="240" t="str">
        <f t="shared" si="18"/>
        <v>FY2025</v>
      </c>
      <c r="J44" s="240" t="str">
        <f t="shared" si="18"/>
        <v>FY2026E</v>
      </c>
      <c r="K44" s="240" t="str">
        <f t="shared" si="18"/>
        <v>FY2027E</v>
      </c>
      <c r="L44" s="240" t="str">
        <f t="shared" si="18"/>
        <v>FY2028E</v>
      </c>
      <c r="M44" s="240" t="str">
        <f t="shared" si="18"/>
        <v>FY2029E</v>
      </c>
      <c r="N44" s="240" t="str">
        <f t="shared" si="18"/>
        <v>FY2030E</v>
      </c>
      <c r="O44" s="240" t="str">
        <f t="shared" si="18"/>
        <v>FY2031E</v>
      </c>
      <c r="P44" s="240" t="str">
        <f t="shared" si="18"/>
        <v>FY2032E</v>
      </c>
    </row>
    <row r="45" spans="2:16" ht="6" customHeight="1" x14ac:dyDescent="0.3"/>
    <row r="46" spans="2:16" x14ac:dyDescent="0.3">
      <c r="B46" s="226"/>
      <c r="C46" s="226" t="s">
        <v>573</v>
      </c>
    </row>
    <row r="47" spans="2:16" x14ac:dyDescent="0.3">
      <c r="C47" s="227"/>
      <c r="D47" s="227" t="s">
        <v>562</v>
      </c>
      <c r="E47" s="228"/>
      <c r="F47" s="233"/>
      <c r="G47" s="233"/>
      <c r="H47" s="233"/>
      <c r="I47" s="233"/>
      <c r="J47" s="233"/>
      <c r="K47" s="233">
        <f>(K10*J14 + K18* J22)/(J14+J22)</f>
        <v>9.9999999999999992E-2</v>
      </c>
      <c r="L47" s="233">
        <f t="shared" ref="L47:P47" si="19">(L10*K14 + L18* K22)/(K14+K22)</f>
        <v>0.15</v>
      </c>
      <c r="M47" s="233">
        <f t="shared" si="19"/>
        <v>0.1685546169308117</v>
      </c>
      <c r="N47" s="233">
        <f t="shared" si="19"/>
        <v>0.15658861393911758</v>
      </c>
      <c r="O47" s="233">
        <f t="shared" si="19"/>
        <v>0.15672197906365345</v>
      </c>
      <c r="P47" s="233">
        <f t="shared" si="19"/>
        <v>0.15666903380751776</v>
      </c>
    </row>
    <row r="48" spans="2:16" x14ac:dyDescent="0.3">
      <c r="C48" s="227"/>
      <c r="D48" s="227" t="s">
        <v>478</v>
      </c>
      <c r="E48" s="228"/>
      <c r="F48" s="229"/>
      <c r="G48" s="229"/>
      <c r="H48" s="229"/>
      <c r="I48" s="229"/>
      <c r="J48" s="229"/>
      <c r="K48" s="229">
        <f>-Assumptions!K55</f>
        <v>-0.08</v>
      </c>
      <c r="L48" s="229">
        <f>-Assumptions!L55</f>
        <v>-0.08</v>
      </c>
      <c r="M48" s="229">
        <f>-Assumptions!M55</f>
        <v>-0.08</v>
      </c>
      <c r="N48" s="229">
        <f>-Assumptions!N55</f>
        <v>-0.08</v>
      </c>
      <c r="O48" s="229">
        <f>-Assumptions!O55</f>
        <v>-0.08</v>
      </c>
      <c r="P48" s="229">
        <f>-Assumptions!P55</f>
        <v>-0.08</v>
      </c>
    </row>
    <row r="49" spans="2:16" ht="12.6" customHeight="1" x14ac:dyDescent="0.3">
      <c r="D49" s="245" t="s">
        <v>531</v>
      </c>
      <c r="J49" s="249">
        <v>100</v>
      </c>
      <c r="K49" s="250">
        <f>J49*(1+K47)</f>
        <v>110.00000000000001</v>
      </c>
      <c r="L49" s="250">
        <f t="shared" ref="L49:P49" si="20">K49*(1+L47)</f>
        <v>126.5</v>
      </c>
      <c r="M49" s="250">
        <f t="shared" si="20"/>
        <v>147.82215904174768</v>
      </c>
      <c r="N49" s="250">
        <f t="shared" si="20"/>
        <v>170.96942603558273</v>
      </c>
      <c r="O49" s="250">
        <f t="shared" si="20"/>
        <v>197.76409284325615</v>
      </c>
      <c r="P49" s="250">
        <f t="shared" si="20"/>
        <v>228.74760219082935</v>
      </c>
    </row>
    <row r="50" spans="2:16" x14ac:dyDescent="0.3">
      <c r="C50" s="227"/>
      <c r="D50" s="227" t="s">
        <v>563</v>
      </c>
      <c r="E50" s="228"/>
      <c r="F50" s="230"/>
      <c r="G50" s="230"/>
      <c r="H50" s="230"/>
      <c r="I50" s="230"/>
      <c r="J50" s="248">
        <v>100</v>
      </c>
      <c r="K50" s="230">
        <f>J50*(1+K48)</f>
        <v>92</v>
      </c>
      <c r="L50" s="230">
        <f t="shared" ref="L50:P50" si="21">K50*(1+L48)</f>
        <v>84.64</v>
      </c>
      <c r="M50" s="230">
        <f t="shared" si="21"/>
        <v>77.868800000000007</v>
      </c>
      <c r="N50" s="230">
        <f t="shared" si="21"/>
        <v>71.639296000000016</v>
      </c>
      <c r="O50" s="230">
        <f t="shared" si="21"/>
        <v>65.908152320000013</v>
      </c>
      <c r="P50" s="230">
        <f t="shared" si="21"/>
        <v>60.635500134400012</v>
      </c>
    </row>
    <row r="51" spans="2:16" x14ac:dyDescent="0.3">
      <c r="C51" s="227"/>
      <c r="D51" s="227"/>
      <c r="E51" s="228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</row>
    <row r="52" spans="2:16" x14ac:dyDescent="0.3">
      <c r="D52" s="226" t="s">
        <v>561</v>
      </c>
      <c r="E52" s="231"/>
      <c r="F52" s="232">
        <f>'Raw Data'!E19</f>
        <v>16860</v>
      </c>
      <c r="G52" s="232">
        <f>'Raw Data'!F19</f>
        <v>16956</v>
      </c>
      <c r="H52" s="232">
        <f>'Raw Data'!G19</f>
        <v>19498</v>
      </c>
      <c r="I52" s="232">
        <f>'Raw Data'!H19</f>
        <v>22505</v>
      </c>
      <c r="J52" s="232">
        <f>'Raw Data'!M19 + Assumptions!J12*(1-Assumptions!J13)</f>
        <v>25502</v>
      </c>
      <c r="K52" s="232">
        <f>$J52*(K49/$J49)*(K50/$J50)</f>
        <v>25808.024000000001</v>
      </c>
      <c r="L52" s="232">
        <f t="shared" ref="L52:P52" si="22">$J52*(L49/$J49)*(L50/$J50)</f>
        <v>27304.889392000001</v>
      </c>
      <c r="M52" s="232">
        <f t="shared" si="22"/>
        <v>29354.674198702207</v>
      </c>
      <c r="N52" s="232">
        <f t="shared" si="22"/>
        <v>31235.179388582455</v>
      </c>
      <c r="O52" s="232">
        <f t="shared" si="22"/>
        <v>33239.985037267783</v>
      </c>
      <c r="P52" s="232">
        <f t="shared" si="22"/>
        <v>35371.84846668625</v>
      </c>
    </row>
    <row r="53" spans="2:16" ht="6" customHeight="1" x14ac:dyDescent="0.3">
      <c r="B53" s="234"/>
      <c r="C53" s="234"/>
      <c r="D53" s="234"/>
      <c r="E53" s="234"/>
      <c r="F53" s="234"/>
      <c r="G53" s="234"/>
      <c r="H53" s="234"/>
      <c r="I53" s="234"/>
      <c r="J53" s="234" t="s">
        <v>574</v>
      </c>
      <c r="K53" s="234"/>
      <c r="L53" s="234"/>
      <c r="M53" s="234"/>
      <c r="N53" s="234"/>
      <c r="O53" s="234"/>
      <c r="P53" s="234"/>
    </row>
    <row r="54" spans="2:16" x14ac:dyDescent="0.3">
      <c r="B54" s="226"/>
    </row>
    <row r="55" spans="2:16" x14ac:dyDescent="0.3">
      <c r="B55" s="246"/>
      <c r="C55" s="247" t="s">
        <v>89</v>
      </c>
      <c r="D55" s="227"/>
      <c r="E55" s="228"/>
      <c r="F55" s="237">
        <f>F30</f>
        <v>30758</v>
      </c>
      <c r="G55" s="237">
        <f>G30</f>
        <v>15540</v>
      </c>
      <c r="H55" s="237">
        <f>H30</f>
        <v>25111</v>
      </c>
      <c r="I55" s="237">
        <f>I30</f>
        <v>37378</v>
      </c>
      <c r="J55" s="237">
        <f>J30</f>
        <v>128959</v>
      </c>
      <c r="K55" s="237">
        <f t="shared" ref="K55:P55" si="23">K30</f>
        <v>145667.61923838675</v>
      </c>
      <c r="L55" s="237">
        <f t="shared" si="23"/>
        <v>92134.769168279629</v>
      </c>
      <c r="M55" s="237">
        <f t="shared" si="23"/>
        <v>69981.931429441029</v>
      </c>
      <c r="N55" s="237">
        <f t="shared" si="23"/>
        <v>72846.274565483618</v>
      </c>
      <c r="O55" s="237">
        <f t="shared" si="23"/>
        <v>71045.641914037114</v>
      </c>
      <c r="P55" s="237">
        <f t="shared" si="23"/>
        <v>69290.759060996774</v>
      </c>
    </row>
    <row r="56" spans="2:16" x14ac:dyDescent="0.3">
      <c r="C56" s="247" t="s">
        <v>561</v>
      </c>
      <c r="D56" s="227"/>
      <c r="E56" s="228"/>
      <c r="F56" s="237">
        <f>F52</f>
        <v>16860</v>
      </c>
      <c r="G56" s="237">
        <f>G52</f>
        <v>16956</v>
      </c>
      <c r="H56" s="237">
        <f>H52</f>
        <v>19498</v>
      </c>
      <c r="I56" s="237">
        <f>I52</f>
        <v>22505</v>
      </c>
      <c r="J56" s="237">
        <f>J52</f>
        <v>25502</v>
      </c>
      <c r="K56" s="237">
        <f t="shared" ref="K56:P56" si="24">K52</f>
        <v>25808.024000000001</v>
      </c>
      <c r="L56" s="237">
        <f t="shared" si="24"/>
        <v>27304.889392000001</v>
      </c>
      <c r="M56" s="237">
        <f t="shared" si="24"/>
        <v>29354.674198702207</v>
      </c>
      <c r="N56" s="237">
        <f t="shared" si="24"/>
        <v>31235.179388582455</v>
      </c>
      <c r="O56" s="237">
        <f t="shared" si="24"/>
        <v>33239.985037267783</v>
      </c>
      <c r="P56" s="237">
        <f t="shared" si="24"/>
        <v>35371.84846668625</v>
      </c>
    </row>
    <row r="57" spans="2:16" x14ac:dyDescent="0.3">
      <c r="C57" s="226" t="s">
        <v>564</v>
      </c>
      <c r="D57" s="226"/>
      <c r="E57" s="231"/>
      <c r="F57" s="235">
        <f>F55-F56</f>
        <v>13898</v>
      </c>
      <c r="G57" s="235">
        <f>G55-G56</f>
        <v>-1416</v>
      </c>
      <c r="H57" s="235">
        <f>H55-H56</f>
        <v>5613</v>
      </c>
      <c r="I57" s="235">
        <f>I55-I56</f>
        <v>14873</v>
      </c>
      <c r="J57" s="235">
        <f>J55-J56</f>
        <v>103457</v>
      </c>
      <c r="K57" s="235">
        <f t="shared" ref="K57:P57" si="25">K55-K56</f>
        <v>119859.59523838674</v>
      </c>
      <c r="L57" s="235">
        <f t="shared" si="25"/>
        <v>64829.879776279631</v>
      </c>
      <c r="M57" s="235">
        <f t="shared" si="25"/>
        <v>40627.257230738818</v>
      </c>
      <c r="N57" s="235">
        <f t="shared" si="25"/>
        <v>41611.095176901159</v>
      </c>
      <c r="O57" s="235">
        <f t="shared" si="25"/>
        <v>37805.656876769332</v>
      </c>
      <c r="P57" s="235">
        <f t="shared" si="25"/>
        <v>33918.910594310524</v>
      </c>
    </row>
    <row r="58" spans="2:16" x14ac:dyDescent="0.3">
      <c r="C58" s="227" t="s">
        <v>565</v>
      </c>
      <c r="D58" s="227"/>
      <c r="E58" s="228"/>
      <c r="F58" s="233">
        <f>F57/F55</f>
        <v>0.45184992522270628</v>
      </c>
      <c r="G58" s="233">
        <f>G57/G55</f>
        <v>-9.1119691119691121E-2</v>
      </c>
      <c r="H58" s="233">
        <f>H57/H55</f>
        <v>0.22352753773246783</v>
      </c>
      <c r="I58" s="233">
        <f>I57/I55</f>
        <v>0.39790786023864305</v>
      </c>
      <c r="J58" s="233">
        <f>J57/J55</f>
        <v>0.80224722586248343</v>
      </c>
      <c r="K58" s="233">
        <f t="shared" ref="K58:P58" si="26">K57/K55</f>
        <v>0.82282936911486915</v>
      </c>
      <c r="L58" s="233">
        <f t="shared" si="26"/>
        <v>0.70364185379214483</v>
      </c>
      <c r="M58" s="233">
        <f t="shared" si="26"/>
        <v>0.58053923921349715</v>
      </c>
      <c r="N58" s="233">
        <f t="shared" si="26"/>
        <v>0.57121788897379711</v>
      </c>
      <c r="O58" s="233">
        <f t="shared" si="26"/>
        <v>0.53213196275308383</v>
      </c>
      <c r="P58" s="233">
        <f t="shared" si="26"/>
        <v>0.48951564471175224</v>
      </c>
    </row>
    <row r="59" spans="2:16" ht="6" customHeight="1" x14ac:dyDescent="0.3"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</row>
    <row r="60" spans="2:16" x14ac:dyDescent="0.3">
      <c r="B60" s="226"/>
    </row>
    <row r="61" spans="2:16" x14ac:dyDescent="0.3">
      <c r="C61" s="4" t="s">
        <v>566</v>
      </c>
      <c r="D61" s="227"/>
      <c r="E61" s="228"/>
      <c r="F61" s="229">
        <f>F62/'Raw Data'!D22 - 1</f>
        <v>0.1701088997371385</v>
      </c>
      <c r="G61" s="229">
        <f>G62/F62 - 1</f>
        <v>-6.4184852374837842E-4</v>
      </c>
      <c r="H61" s="229">
        <f t="shared" ref="H61:I61" si="27">H62/G62 - 1</f>
        <v>0.10147719974309566</v>
      </c>
      <c r="I61" s="229">
        <f t="shared" si="27"/>
        <v>0.10728862973760922</v>
      </c>
      <c r="J61" s="229">
        <f>J62/I62 - 1</f>
        <v>0.35475972757753316</v>
      </c>
      <c r="K61" s="229">
        <f>Assumptions!K57</f>
        <v>0.1</v>
      </c>
      <c r="L61" s="229">
        <f>Assumptions!L57</f>
        <v>0.1</v>
      </c>
      <c r="M61" s="229">
        <f>Assumptions!M57</f>
        <v>0.1</v>
      </c>
      <c r="N61" s="229">
        <f>Assumptions!N57</f>
        <v>0.1</v>
      </c>
      <c r="O61" s="229">
        <f>Assumptions!O57</f>
        <v>0.1</v>
      </c>
      <c r="P61" s="229">
        <f>Assumptions!P57</f>
        <v>0.1</v>
      </c>
    </row>
    <row r="62" spans="2:16" x14ac:dyDescent="0.3">
      <c r="C62" s="4" t="s">
        <v>567</v>
      </c>
      <c r="D62" s="227"/>
      <c r="E62" s="228"/>
      <c r="F62" s="237">
        <f>'Raw Data'!E22</f>
        <v>3116</v>
      </c>
      <c r="G62" s="237">
        <f>'Raw Data'!F22</f>
        <v>3114</v>
      </c>
      <c r="H62" s="237">
        <f>'Raw Data'!G22</f>
        <v>3430</v>
      </c>
      <c r="I62" s="237">
        <f>'Raw Data'!H22</f>
        <v>3798</v>
      </c>
      <c r="J62" s="237">
        <f>'Raw Data'!M22+Assumptions!J14 * 'Raw Data'!L22/SUM('Raw Data'!L22:L25)</f>
        <v>5145.3774453394708</v>
      </c>
      <c r="K62" s="237">
        <f>J62*(1+K61)</f>
        <v>5659.9151898734181</v>
      </c>
      <c r="L62" s="237">
        <f t="shared" ref="L62:P62" si="28">K62*(1+L61)</f>
        <v>6225.9067088607608</v>
      </c>
      <c r="M62" s="237">
        <f t="shared" si="28"/>
        <v>6848.4973797468374</v>
      </c>
      <c r="N62" s="237">
        <f t="shared" si="28"/>
        <v>7533.3471177215215</v>
      </c>
      <c r="O62" s="237">
        <f t="shared" si="28"/>
        <v>8286.6818294936747</v>
      </c>
      <c r="P62" s="237">
        <f t="shared" si="28"/>
        <v>9115.3500124430429</v>
      </c>
    </row>
    <row r="63" spans="2:16" x14ac:dyDescent="0.3">
      <c r="C63" s="4" t="s">
        <v>568</v>
      </c>
      <c r="D63" s="227"/>
      <c r="E63" s="228"/>
      <c r="F63" s="229">
        <f>F64/'Raw Data'!D23 - 1</f>
        <v>0.19239373601789711</v>
      </c>
      <c r="G63" s="229">
        <f>G64/F64 - 1</f>
        <v>-0.1369606003752345</v>
      </c>
      <c r="H63" s="229">
        <f t="shared" ref="H63:I63" si="29">H64/G64 - 1</f>
        <v>0.22717391304347823</v>
      </c>
      <c r="I63" s="229">
        <f t="shared" si="29"/>
        <v>6.7316209034543828E-2</v>
      </c>
      <c r="J63" s="229">
        <f>J64/I64 - 1</f>
        <v>0.26437312884080044</v>
      </c>
      <c r="K63" s="229">
        <f>Assumptions!K58</f>
        <v>0.08</v>
      </c>
      <c r="L63" s="229">
        <f>Assumptions!L58</f>
        <v>0.08</v>
      </c>
      <c r="M63" s="229">
        <f>Assumptions!M58</f>
        <v>0.08</v>
      </c>
      <c r="N63" s="229">
        <f>Assumptions!N58</f>
        <v>0.08</v>
      </c>
      <c r="O63" s="229">
        <f>Assumptions!O58</f>
        <v>0.08</v>
      </c>
      <c r="P63" s="229">
        <f>Assumptions!P58</f>
        <v>0.08</v>
      </c>
    </row>
    <row r="64" spans="2:16" x14ac:dyDescent="0.3">
      <c r="C64" s="4" t="s">
        <v>569</v>
      </c>
      <c r="D64" s="227"/>
      <c r="E64" s="228"/>
      <c r="F64" s="237">
        <f>'Raw Data'!E23</f>
        <v>1066</v>
      </c>
      <c r="G64" s="237">
        <f>'Raw Data'!F23</f>
        <v>920</v>
      </c>
      <c r="H64" s="237">
        <f>'Raw Data'!G23</f>
        <v>1129</v>
      </c>
      <c r="I64" s="237">
        <f>'Raw Data'!H23</f>
        <v>1205</v>
      </c>
      <c r="J64" s="237">
        <f>'Raw Data'!M23+ Assumptions!J14 * 'Raw Data'!L23/SUM('Raw Data'!L22:L25)</f>
        <v>1523.5696202531644</v>
      </c>
      <c r="K64" s="237">
        <f>J64*(1+K63)</f>
        <v>1645.4551898734178</v>
      </c>
      <c r="L64" s="237">
        <f t="shared" ref="L64:P64" si="30">K64*(1+L63)</f>
        <v>1777.0916050632914</v>
      </c>
      <c r="M64" s="237">
        <f t="shared" si="30"/>
        <v>1919.2589334683548</v>
      </c>
      <c r="N64" s="237">
        <f t="shared" si="30"/>
        <v>2072.7996481458235</v>
      </c>
      <c r="O64" s="237">
        <f t="shared" si="30"/>
        <v>2238.6236199974896</v>
      </c>
      <c r="P64" s="237">
        <f t="shared" si="30"/>
        <v>2417.713509597289</v>
      </c>
    </row>
    <row r="65" spans="2:16" x14ac:dyDescent="0.3">
      <c r="C65" s="4" t="s">
        <v>570</v>
      </c>
      <c r="D65" s="227"/>
      <c r="E65" s="228"/>
      <c r="F65" s="238">
        <f>'Raw Data'!E24+'Raw Data'!E25</f>
        <v>14</v>
      </c>
      <c r="G65" s="238">
        <f>'Raw Data'!F24+'Raw Data'!F25</f>
        <v>295</v>
      </c>
      <c r="H65" s="238">
        <f>'Raw Data'!G24+'Raw Data'!G25</f>
        <v>-250</v>
      </c>
      <c r="I65" s="238">
        <f>'Raw Data'!H24+'Raw Data'!H25</f>
        <v>100</v>
      </c>
      <c r="J65" s="238">
        <f>'Raw Data'!M24+'Raw Data'!M25+Assumptions!$J$14*('Raw Data'!L24+'Raw Data'!L25)/SUM('Raw Data'!L22:L25)</f>
        <v>59.052934407364788</v>
      </c>
      <c r="K65" s="238">
        <f>Assumptions!K59</f>
        <v>0</v>
      </c>
      <c r="L65" s="238">
        <f>Assumptions!L59</f>
        <v>0</v>
      </c>
      <c r="M65" s="238">
        <f>Assumptions!M59</f>
        <v>0</v>
      </c>
      <c r="N65" s="238">
        <f>Assumptions!N59</f>
        <v>0</v>
      </c>
      <c r="O65" s="238">
        <f>Assumptions!O59</f>
        <v>0</v>
      </c>
      <c r="P65" s="238">
        <f>Assumptions!P59</f>
        <v>0</v>
      </c>
    </row>
    <row r="66" spans="2:16" x14ac:dyDescent="0.3">
      <c r="C66" s="5" t="s">
        <v>539</v>
      </c>
      <c r="D66" s="226"/>
      <c r="E66" s="231"/>
      <c r="F66" s="232">
        <f>F62+F64+F65</f>
        <v>4196</v>
      </c>
      <c r="G66" s="232">
        <f>G62+G64+G65</f>
        <v>4329</v>
      </c>
      <c r="H66" s="232">
        <f>H62+H64+H65</f>
        <v>4309</v>
      </c>
      <c r="I66" s="232">
        <f>I62+I64+I65</f>
        <v>5103</v>
      </c>
      <c r="J66" s="232">
        <v>6728</v>
      </c>
      <c r="K66" s="232">
        <v>7305.3703797468361</v>
      </c>
      <c r="L66" s="232">
        <v>8002.9983139240521</v>
      </c>
      <c r="M66" s="232">
        <v>8767.7563132151918</v>
      </c>
      <c r="N66" s="232">
        <v>9606.1467658673446</v>
      </c>
      <c r="O66" s="232">
        <v>10525.305449491165</v>
      </c>
      <c r="P66" s="232">
        <v>11533.063522040331</v>
      </c>
    </row>
    <row r="67" spans="2:16" ht="6" customHeight="1" x14ac:dyDescent="0.3"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</row>
    <row r="68" spans="2:16" x14ac:dyDescent="0.3">
      <c r="B68" s="226"/>
      <c r="C68" s="4" t="s">
        <v>575</v>
      </c>
    </row>
    <row r="69" spans="2:16" x14ac:dyDescent="0.3">
      <c r="C69" s="226" t="s">
        <v>571</v>
      </c>
      <c r="D69" s="226"/>
      <c r="E69" s="231"/>
      <c r="F69" s="235">
        <f>F57-F66</f>
        <v>9702</v>
      </c>
      <c r="G69" s="235">
        <f>G57-G66</f>
        <v>-5745</v>
      </c>
      <c r="H69" s="235">
        <f>H57-H66</f>
        <v>1304</v>
      </c>
      <c r="I69" s="235">
        <f>I57-I66</f>
        <v>9770</v>
      </c>
      <c r="J69" s="235">
        <f>J57-J66</f>
        <v>96729</v>
      </c>
      <c r="K69" s="235">
        <f t="shared" ref="K69:P69" si="31">K57-K66</f>
        <v>112554.22485863991</v>
      </c>
      <c r="L69" s="235">
        <f t="shared" si="31"/>
        <v>56826.881462355581</v>
      </c>
      <c r="M69" s="235">
        <f t="shared" si="31"/>
        <v>31859.500917523626</v>
      </c>
      <c r="N69" s="235">
        <f t="shared" si="31"/>
        <v>32004.948411033816</v>
      </c>
      <c r="O69" s="235">
        <f t="shared" si="31"/>
        <v>27280.351427278169</v>
      </c>
      <c r="P69" s="235">
        <f t="shared" si="31"/>
        <v>22385.847072270193</v>
      </c>
    </row>
    <row r="70" spans="2:16" x14ac:dyDescent="0.3">
      <c r="C70" s="227" t="s">
        <v>572</v>
      </c>
      <c r="D70" s="227"/>
      <c r="E70" s="228"/>
      <c r="F70" s="233">
        <f>F69/F55</f>
        <v>0.31543013199817932</v>
      </c>
      <c r="G70" s="233">
        <f>G69/G55</f>
        <v>-0.36969111969111967</v>
      </c>
      <c r="H70" s="233">
        <f>H69/H55</f>
        <v>5.192943331607662E-2</v>
      </c>
      <c r="I70" s="233">
        <f>I69/I55</f>
        <v>0.26138370164267749</v>
      </c>
      <c r="J70" s="233">
        <f>J69/J55</f>
        <v>0.75007560542498009</v>
      </c>
      <c r="K70" s="233">
        <f t="shared" ref="K70:P70" si="32">K69/K55</f>
        <v>0.77267841300024009</v>
      </c>
      <c r="L70" s="233">
        <f t="shared" si="32"/>
        <v>0.61677998409660173</v>
      </c>
      <c r="M70" s="233">
        <f t="shared" si="32"/>
        <v>0.45525323846835847</v>
      </c>
      <c r="N70" s="233">
        <f t="shared" si="32"/>
        <v>0.43934914450928642</v>
      </c>
      <c r="O70" s="233">
        <f t="shared" si="32"/>
        <v>0.3839834603829253</v>
      </c>
      <c r="P70" s="233">
        <f t="shared" si="32"/>
        <v>0.32307117681542347</v>
      </c>
    </row>
    <row r="71" spans="2:16" ht="12.75" customHeight="1" x14ac:dyDescent="0.3"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  <c r="M71" s="236"/>
      <c r="N71" s="236"/>
      <c r="O71" s="236"/>
      <c r="P71" s="236"/>
    </row>
    <row r="73" spans="2:16" ht="12.75" customHeight="1" x14ac:dyDescent="0.3">
      <c r="P73" s="219"/>
    </row>
    <row r="74" spans="2:16" ht="22.8" customHeight="1" x14ac:dyDescent="0.45"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</row>
    <row r="75" spans="2:16" ht="17.399999999999999" customHeight="1" x14ac:dyDescent="0.35">
      <c r="B75" s="221" t="s">
        <v>497</v>
      </c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</row>
    <row r="76" spans="2:16" ht="3" customHeight="1" x14ac:dyDescent="0.35"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</row>
    <row r="77" spans="2:16" ht="12.75" customHeight="1" x14ac:dyDescent="0.3"/>
    <row r="78" spans="2:16" x14ac:dyDescent="0.3">
      <c r="F78" s="223" t="s">
        <v>495</v>
      </c>
      <c r="G78" s="224"/>
      <c r="H78" s="224"/>
      <c r="I78" s="224"/>
      <c r="J78" s="223" t="s">
        <v>126</v>
      </c>
      <c r="K78" s="224"/>
      <c r="L78" s="224"/>
      <c r="M78" s="224"/>
      <c r="N78" s="224"/>
      <c r="O78" s="224"/>
      <c r="P78" s="224"/>
    </row>
    <row r="79" spans="2:16" x14ac:dyDescent="0.3">
      <c r="E79" s="225" t="s">
        <v>107</v>
      </c>
      <c r="F79" s="240" t="str">
        <f>F44</f>
        <v>FY2022</v>
      </c>
      <c r="G79" s="240" t="str">
        <f t="shared" ref="G79:P79" si="33">G44</f>
        <v>FY2023</v>
      </c>
      <c r="H79" s="240" t="str">
        <f t="shared" si="33"/>
        <v>FY2024</v>
      </c>
      <c r="I79" s="240" t="str">
        <f t="shared" si="33"/>
        <v>FY2025</v>
      </c>
      <c r="J79" s="240" t="str">
        <f t="shared" si="33"/>
        <v>FY2026E</v>
      </c>
      <c r="K79" s="240" t="str">
        <f t="shared" si="33"/>
        <v>FY2027E</v>
      </c>
      <c r="L79" s="240" t="str">
        <f t="shared" si="33"/>
        <v>FY2028E</v>
      </c>
      <c r="M79" s="240" t="str">
        <f t="shared" si="33"/>
        <v>FY2029E</v>
      </c>
      <c r="N79" s="240" t="str">
        <f t="shared" si="33"/>
        <v>FY2030E</v>
      </c>
      <c r="O79" s="240" t="str">
        <f t="shared" si="33"/>
        <v>FY2031E</v>
      </c>
      <c r="P79" s="240" t="str">
        <f t="shared" si="33"/>
        <v>FY2032E</v>
      </c>
    </row>
    <row r="80" spans="2:16" ht="6" customHeight="1" x14ac:dyDescent="0.3"/>
    <row r="81" spans="2:16" x14ac:dyDescent="0.3">
      <c r="B81" s="226"/>
      <c r="C81" s="226" t="s">
        <v>97</v>
      </c>
    </row>
    <row r="82" spans="2:16" x14ac:dyDescent="0.3">
      <c r="C82" s="227"/>
      <c r="D82" s="227" t="s">
        <v>579</v>
      </c>
      <c r="E82" s="228"/>
      <c r="F82" s="229">
        <f>F84/F83</f>
        <v>0.39232069705442485</v>
      </c>
      <c r="G82" s="229">
        <f t="shared" ref="G82:I82" si="34">G84/G83</f>
        <v>0.49395109395109393</v>
      </c>
      <c r="H82" s="229">
        <f t="shared" si="34"/>
        <v>0.33395722989924737</v>
      </c>
      <c r="I82" s="229">
        <f t="shared" si="34"/>
        <v>0.42423350634062817</v>
      </c>
      <c r="J82" s="229">
        <f>J84/J83</f>
        <v>0.24027274818611599</v>
      </c>
      <c r="K82" s="229">
        <f>Assumptions!K46</f>
        <v>0.25</v>
      </c>
      <c r="L82" s="229">
        <f>Assumptions!L46</f>
        <v>0.35</v>
      </c>
      <c r="M82" s="229">
        <f>Assumptions!M46</f>
        <v>0.38</v>
      </c>
      <c r="N82" s="229">
        <f>Assumptions!N46</f>
        <v>0.35</v>
      </c>
      <c r="O82" s="229">
        <f>Assumptions!O46</f>
        <v>0.35</v>
      </c>
      <c r="P82" s="229">
        <f>Assumptions!P46</f>
        <v>0.35</v>
      </c>
    </row>
    <row r="83" spans="2:16" x14ac:dyDescent="0.3">
      <c r="C83" s="227"/>
      <c r="D83" s="227" t="s">
        <v>89</v>
      </c>
      <c r="E83" s="228"/>
      <c r="F83" s="237">
        <f>F55</f>
        <v>30758</v>
      </c>
      <c r="G83" s="237">
        <f t="shared" ref="G83:P83" si="35">G55</f>
        <v>15540</v>
      </c>
      <c r="H83" s="237">
        <f t="shared" si="35"/>
        <v>25111</v>
      </c>
      <c r="I83" s="237">
        <f t="shared" si="35"/>
        <v>37378</v>
      </c>
      <c r="J83" s="237">
        <f t="shared" si="35"/>
        <v>128959</v>
      </c>
      <c r="K83" s="237">
        <f t="shared" si="35"/>
        <v>145667.61923838675</v>
      </c>
      <c r="L83" s="237">
        <f t="shared" si="35"/>
        <v>92134.769168279629</v>
      </c>
      <c r="M83" s="237">
        <f t="shared" si="35"/>
        <v>69981.931429441029</v>
      </c>
      <c r="N83" s="237">
        <f t="shared" si="35"/>
        <v>72846.274565483618</v>
      </c>
      <c r="O83" s="237">
        <f t="shared" si="35"/>
        <v>71045.641914037114</v>
      </c>
      <c r="P83" s="237">
        <f t="shared" si="35"/>
        <v>69290.759060996774</v>
      </c>
    </row>
    <row r="84" spans="2:16" x14ac:dyDescent="0.3">
      <c r="C84" s="227"/>
      <c r="D84" s="227" t="s">
        <v>97</v>
      </c>
      <c r="E84" s="228"/>
      <c r="F84" s="237">
        <f>'Historical Drivers'!D44</f>
        <v>12067</v>
      </c>
      <c r="G84" s="237">
        <f>'Historical Drivers'!E44</f>
        <v>7676</v>
      </c>
      <c r="H84" s="237">
        <f>'Historical Drivers'!F44</f>
        <v>8386</v>
      </c>
      <c r="I84" s="237">
        <f>'Historical Drivers'!G44</f>
        <v>15857</v>
      </c>
      <c r="J84" s="237">
        <f>Assumptions!J21+J86</f>
        <v>30985.333333333332</v>
      </c>
      <c r="K84" s="237">
        <f>K83*K82</f>
        <v>36416.904809596686</v>
      </c>
      <c r="L84" s="237">
        <f t="shared" ref="L84:P84" si="36">L83*L82</f>
        <v>32247.169208897867</v>
      </c>
      <c r="M84" s="237">
        <f t="shared" si="36"/>
        <v>26593.133943187589</v>
      </c>
      <c r="N84" s="237">
        <f t="shared" si="36"/>
        <v>25496.196097919266</v>
      </c>
      <c r="O84" s="237">
        <f t="shared" si="36"/>
        <v>24865.97466991299</v>
      </c>
      <c r="P84" s="237">
        <f t="shared" si="36"/>
        <v>24251.765671348869</v>
      </c>
    </row>
    <row r="85" spans="2:16" x14ac:dyDescent="0.3">
      <c r="C85" s="227"/>
      <c r="D85" s="227" t="s">
        <v>580</v>
      </c>
      <c r="E85" s="228"/>
      <c r="F85" s="229">
        <f>F86/F84</f>
        <v>9.5301234772520102E-3</v>
      </c>
      <c r="G85" s="229">
        <f t="shared" ref="G85:I85" si="37">G86/G84</f>
        <v>9.2496091714434597E-2</v>
      </c>
      <c r="H85" s="229">
        <f t="shared" si="37"/>
        <v>3.7562604340567615E-2</v>
      </c>
      <c r="I85" s="229">
        <f t="shared" si="37"/>
        <v>0.12644258056378888</v>
      </c>
      <c r="J85" s="229">
        <f>J86/J84</f>
        <v>0.12861999225439993</v>
      </c>
      <c r="K85" s="229">
        <f>Assumptions!K63</f>
        <v>0.08</v>
      </c>
      <c r="L85" s="229">
        <f>Assumptions!L63</f>
        <v>0.08</v>
      </c>
      <c r="M85" s="229">
        <f>Assumptions!M63</f>
        <v>0.08</v>
      </c>
      <c r="N85" s="229">
        <f>Assumptions!N63</f>
        <v>0.08</v>
      </c>
      <c r="O85" s="229">
        <f>Assumptions!O63</f>
        <v>0.08</v>
      </c>
      <c r="P85" s="229">
        <f>Assumptions!P63</f>
        <v>0.08</v>
      </c>
    </row>
    <row r="86" spans="2:16" x14ac:dyDescent="0.3">
      <c r="C86" s="227"/>
      <c r="D86" s="227" t="s">
        <v>584</v>
      </c>
      <c r="E86" s="228"/>
      <c r="F86" s="237">
        <f>'Historical Drivers'!D46</f>
        <v>115</v>
      </c>
      <c r="G86" s="237">
        <f>'Historical Drivers'!E46</f>
        <v>710</v>
      </c>
      <c r="H86" s="237">
        <f>'Historical Drivers'!F46</f>
        <v>315</v>
      </c>
      <c r="I86" s="237">
        <f>'Historical Drivers'!G46</f>
        <v>2005</v>
      </c>
      <c r="J86" s="237">
        <f>'Raw Data'!M119*4/3</f>
        <v>3985.3333333333335</v>
      </c>
      <c r="K86" s="237">
        <f>K85*K84</f>
        <v>2913.3523847677347</v>
      </c>
      <c r="L86" s="237">
        <f t="shared" ref="L86:P86" si="38">L85*L84</f>
        <v>2579.7735367118294</v>
      </c>
      <c r="M86" s="237">
        <f t="shared" si="38"/>
        <v>2127.4507154550074</v>
      </c>
      <c r="N86" s="237">
        <f t="shared" si="38"/>
        <v>2039.6956878335413</v>
      </c>
      <c r="O86" s="237">
        <f t="shared" si="38"/>
        <v>1989.2779735930392</v>
      </c>
      <c r="P86" s="237">
        <f t="shared" si="38"/>
        <v>1940.1412537079095</v>
      </c>
    </row>
    <row r="87" spans="2:16" x14ac:dyDescent="0.3">
      <c r="C87" s="226"/>
      <c r="D87" s="226" t="s">
        <v>581</v>
      </c>
      <c r="E87" s="231"/>
      <c r="F87" s="232">
        <f>F84-F86</f>
        <v>11952</v>
      </c>
      <c r="G87" s="232">
        <f t="shared" ref="G87:P87" si="39">G84-G86</f>
        <v>6966</v>
      </c>
      <c r="H87" s="232">
        <f t="shared" si="39"/>
        <v>8071</v>
      </c>
      <c r="I87" s="232">
        <f t="shared" si="39"/>
        <v>13852</v>
      </c>
      <c r="J87" s="232">
        <f t="shared" si="39"/>
        <v>27000</v>
      </c>
      <c r="K87" s="232">
        <f t="shared" si="39"/>
        <v>33503.552424828951</v>
      </c>
      <c r="L87" s="232">
        <f t="shared" si="39"/>
        <v>29667.395672186038</v>
      </c>
      <c r="M87" s="232">
        <f t="shared" si="39"/>
        <v>24465.683227732581</v>
      </c>
      <c r="N87" s="232">
        <f t="shared" si="39"/>
        <v>23456.500410085726</v>
      </c>
      <c r="O87" s="232">
        <f t="shared" si="39"/>
        <v>22876.696696319952</v>
      </c>
      <c r="P87" s="232">
        <f t="shared" si="39"/>
        <v>22311.62441764096</v>
      </c>
    </row>
    <row r="88" spans="2:16" ht="6" customHeight="1" x14ac:dyDescent="0.3"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</row>
    <row r="89" spans="2:16" x14ac:dyDescent="0.3">
      <c r="B89" s="226"/>
      <c r="C89" s="226" t="s">
        <v>589</v>
      </c>
      <c r="D89" s="227"/>
      <c r="E89" s="228"/>
    </row>
    <row r="90" spans="2:16" x14ac:dyDescent="0.3">
      <c r="C90" s="227"/>
      <c r="D90" s="251" t="s">
        <v>582</v>
      </c>
      <c r="E90" s="252"/>
    </row>
    <row r="91" spans="2:16" x14ac:dyDescent="0.3">
      <c r="C91" s="227"/>
      <c r="D91" s="253" t="s">
        <v>583</v>
      </c>
      <c r="E91" s="254">
        <f>Assumptions!K61</f>
        <v>7</v>
      </c>
    </row>
    <row r="92" spans="2:16" x14ac:dyDescent="0.3">
      <c r="C92" s="227"/>
      <c r="D92" s="255" t="s">
        <v>586</v>
      </c>
      <c r="E92" s="256">
        <f>Assumptions!K62</f>
        <v>10</v>
      </c>
    </row>
    <row r="93" spans="2:16" ht="6" customHeight="1" x14ac:dyDescent="0.3">
      <c r="E93" s="228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</row>
    <row r="94" spans="2:16" x14ac:dyDescent="0.3">
      <c r="C94" s="227"/>
      <c r="D94" s="227" t="s">
        <v>590</v>
      </c>
      <c r="E94" s="228"/>
      <c r="F94" s="237">
        <f>'Raw Data'!D60</f>
        <v>33213</v>
      </c>
      <c r="G94" s="237">
        <f>F109</f>
        <v>38549</v>
      </c>
      <c r="H94" s="237">
        <f t="shared" ref="H94:P94" si="40">G109</f>
        <v>37928</v>
      </c>
      <c r="I94" s="237">
        <f t="shared" si="40"/>
        <v>39749</v>
      </c>
      <c r="J94" s="237">
        <f t="shared" si="40"/>
        <v>46590</v>
      </c>
      <c r="K94" s="237">
        <f t="shared" si="40"/>
        <v>64525.666666666664</v>
      </c>
      <c r="L94" s="237">
        <f t="shared" si="40"/>
        <v>87136.089089301793</v>
      </c>
      <c r="M94" s="237">
        <f t="shared" si="40"/>
        <v>102751.80735444326</v>
      </c>
      <c r="N94" s="237">
        <f t="shared" si="40"/>
        <v>110459.15923013534</v>
      </c>
      <c r="O94" s="237">
        <f t="shared" si="40"/>
        <v>114761.21910628965</v>
      </c>
      <c r="P94" s="237">
        <f t="shared" si="40"/>
        <v>116166.81541335788</v>
      </c>
    </row>
    <row r="95" spans="2:16" x14ac:dyDescent="0.3">
      <c r="C95" s="227"/>
      <c r="D95" s="227" t="s">
        <v>591</v>
      </c>
      <c r="E95" s="228"/>
      <c r="F95" s="237">
        <f>F87</f>
        <v>11952</v>
      </c>
      <c r="G95" s="237">
        <f t="shared" ref="G95:P95" si="41">G87</f>
        <v>6966</v>
      </c>
      <c r="H95" s="237">
        <f t="shared" si="41"/>
        <v>8071</v>
      </c>
      <c r="I95" s="237">
        <f t="shared" si="41"/>
        <v>13852</v>
      </c>
      <c r="J95" s="237">
        <f t="shared" si="41"/>
        <v>27000</v>
      </c>
      <c r="K95" s="237">
        <f t="shared" si="41"/>
        <v>33503.552424828951</v>
      </c>
      <c r="L95" s="237">
        <f t="shared" si="41"/>
        <v>29667.395672186038</v>
      </c>
      <c r="M95" s="237">
        <f t="shared" si="41"/>
        <v>24465.683227732581</v>
      </c>
      <c r="N95" s="237">
        <f t="shared" si="41"/>
        <v>23456.500410085726</v>
      </c>
      <c r="O95" s="237">
        <f t="shared" si="41"/>
        <v>22876.696696319952</v>
      </c>
      <c r="P95" s="237">
        <f t="shared" si="41"/>
        <v>22311.62441764096</v>
      </c>
    </row>
    <row r="96" spans="2:16" ht="6" customHeight="1" x14ac:dyDescent="0.3"/>
    <row r="97" spans="2:16" x14ac:dyDescent="0.3">
      <c r="C97" s="227"/>
      <c r="D97" s="227" t="s">
        <v>592</v>
      </c>
      <c r="E97" s="228"/>
      <c r="F97" s="237"/>
      <c r="G97" s="237"/>
      <c r="H97" s="237"/>
      <c r="I97" s="237"/>
      <c r="J97" s="237"/>
      <c r="K97" s="260">
        <f>J109/$E$91</f>
        <v>9217.9523809523798</v>
      </c>
      <c r="L97" s="260">
        <f>K97</f>
        <v>9217.9523809523798</v>
      </c>
      <c r="M97" s="260">
        <f t="shared" ref="M97:P97" si="42">L97</f>
        <v>9217.9523809523798</v>
      </c>
      <c r="N97" s="260">
        <f t="shared" si="42"/>
        <v>9217.9523809523798</v>
      </c>
      <c r="O97" s="260">
        <f t="shared" si="42"/>
        <v>9217.9523809523798</v>
      </c>
      <c r="P97" s="260">
        <f t="shared" si="42"/>
        <v>9217.9523809523798</v>
      </c>
    </row>
    <row r="98" spans="2:16" ht="6" customHeight="1" x14ac:dyDescent="0.3"/>
    <row r="99" spans="2:16" x14ac:dyDescent="0.3">
      <c r="C99" s="227"/>
      <c r="D99" s="226" t="s">
        <v>593</v>
      </c>
      <c r="E99" s="228"/>
    </row>
    <row r="100" spans="2:16" x14ac:dyDescent="0.3">
      <c r="C100" s="227"/>
      <c r="D100" s="261" t="str">
        <f>K79</f>
        <v>FY2027E</v>
      </c>
      <c r="E100" s="237">
        <f>HLOOKUP($D100,$K$79:$P$87,ROWS($K$79:$K$87), FALSE)</f>
        <v>33503.552424828951</v>
      </c>
      <c r="F100" s="237"/>
      <c r="G100" s="237"/>
      <c r="H100" s="237"/>
      <c r="I100" s="237"/>
      <c r="J100" s="237"/>
      <c r="K100" s="237">
        <f>IF($D100=K$79,$E100/$E$92/2,MIN($E100/$E$92,$E100-SUM($J100:J100)))</f>
        <v>1675.1776212414475</v>
      </c>
      <c r="L100" s="237">
        <f>IF($D100=L$79,$E100/$E$92/2,MIN($E100/$E$92,$E100-SUM($J100:K100)))</f>
        <v>3350.3552424828949</v>
      </c>
      <c r="M100" s="237">
        <f>IF($D100=M$79,$E100/$E$92/2,MIN($E100/$E$92,$E100-SUM($J100:L100)))</f>
        <v>3350.3552424828949</v>
      </c>
      <c r="N100" s="237">
        <f>IF($D100=N$79,$E100/$E$92/2,MIN($E100/$E$92,$E100-SUM($J100:M100)))</f>
        <v>3350.3552424828949</v>
      </c>
      <c r="O100" s="237">
        <f>IF($D100=O$79,$E100/$E$92/2,MIN($E100/$E$92,$E100-SUM($J100:N100)))</f>
        <v>3350.3552424828949</v>
      </c>
      <c r="P100" s="237">
        <f>IF($D100=P$79,$E100/$E$92/2,MIN($E100/$E$92,$E100-SUM($J100:O100)))</f>
        <v>3350.3552424828949</v>
      </c>
    </row>
    <row r="101" spans="2:16" x14ac:dyDescent="0.3">
      <c r="C101" s="227"/>
      <c r="D101" s="261" t="str">
        <f>L79</f>
        <v>FY2028E</v>
      </c>
      <c r="E101" s="237">
        <f t="shared" ref="E101:E105" si="43">HLOOKUP($D101,$K$79:$P$87,ROWS($K$79:$K$87), FALSE)</f>
        <v>29667.395672186038</v>
      </c>
      <c r="F101" s="237"/>
      <c r="G101" s="237"/>
      <c r="H101" s="237"/>
      <c r="I101" s="237"/>
      <c r="J101" s="237"/>
      <c r="K101" s="237"/>
      <c r="L101" s="237">
        <f>IF($D101=L$79,$E101/$E$92/2,MIN($E101/$E$92,$E101-SUM($J101:K101)))</f>
        <v>1483.369783609302</v>
      </c>
      <c r="M101" s="237">
        <f>IF($D101=M$79,$E101/$E$92/2,MIN($E101/$E$92,$E101-SUM($J101:L101)))</f>
        <v>2966.739567218604</v>
      </c>
      <c r="N101" s="237">
        <f>IF($D101=N$79,$E101/$E$92/2,MIN($E101/$E$92,$E101-SUM($J101:M101)))</f>
        <v>2966.739567218604</v>
      </c>
      <c r="O101" s="237">
        <f>IF($D101=O$79,$E101/$E$92/2,MIN($E101/$E$92,$E101-SUM($J101:N101)))</f>
        <v>2966.739567218604</v>
      </c>
      <c r="P101" s="237">
        <f>IF($D101=P$79,$E101/$E$92/2,MIN($E101/$E$92,$E101-SUM($J101:O101)))</f>
        <v>2966.739567218604</v>
      </c>
    </row>
    <row r="102" spans="2:16" x14ac:dyDescent="0.3">
      <c r="C102" s="227"/>
      <c r="D102" s="261" t="str">
        <f>M79</f>
        <v>FY2029E</v>
      </c>
      <c r="E102" s="237">
        <f t="shared" si="43"/>
        <v>24465.683227732581</v>
      </c>
      <c r="F102" s="237"/>
      <c r="G102" s="237"/>
      <c r="H102" s="237"/>
      <c r="I102" s="237"/>
      <c r="J102" s="237"/>
      <c r="K102" s="237"/>
      <c r="L102" s="237"/>
      <c r="M102" s="237">
        <f>IF($D102=M$79,$E102/$E$92/2,MIN($E102/$E$92,$E102-SUM($J102:L102)))</f>
        <v>1223.284161386629</v>
      </c>
      <c r="N102" s="237">
        <f>IF($D102=N$79,$E102/$E$92/2,MIN($E102/$E$92,$E102-SUM($J102:M102)))</f>
        <v>2446.5683227732579</v>
      </c>
      <c r="O102" s="237">
        <f>IF($D102=O$79,$E102/$E$92/2,MIN($E102/$E$92,$E102-SUM($J102:N102)))</f>
        <v>2446.5683227732579</v>
      </c>
      <c r="P102" s="237">
        <f>IF($D102=P$79,$E102/$E$92/2,MIN($E102/$E$92,$E102-SUM($J102:O102)))</f>
        <v>2446.5683227732579</v>
      </c>
    </row>
    <row r="103" spans="2:16" x14ac:dyDescent="0.3">
      <c r="C103" s="227"/>
      <c r="D103" s="261" t="str">
        <f>N79</f>
        <v>FY2030E</v>
      </c>
      <c r="E103" s="237">
        <f t="shared" si="43"/>
        <v>23456.500410085726</v>
      </c>
      <c r="F103" s="237"/>
      <c r="G103" s="237"/>
      <c r="H103" s="237"/>
      <c r="I103" s="237"/>
      <c r="J103" s="237"/>
      <c r="K103" s="237"/>
      <c r="L103" s="237"/>
      <c r="M103" s="237"/>
      <c r="N103" s="237">
        <f>IF($D103=N$79,$E103/$E$92/2,MIN($E103/$E$92,$E103-SUM($J103:M103)))</f>
        <v>1172.8250205042864</v>
      </c>
      <c r="O103" s="237">
        <f>IF($D103=O$79,$E103/$E$92/2,MIN($E103/$E$92,$E103-SUM($J103:N103)))</f>
        <v>2345.6500410085728</v>
      </c>
      <c r="P103" s="237">
        <f>IF($D103=P$79,$E103/$E$92/2,MIN($E103/$E$92,$E103-SUM($J103:O103)))</f>
        <v>2345.6500410085728</v>
      </c>
    </row>
    <row r="104" spans="2:16" x14ac:dyDescent="0.3">
      <c r="C104" s="227"/>
      <c r="D104" s="261" t="str">
        <f>O79</f>
        <v>FY2031E</v>
      </c>
      <c r="E104" s="237">
        <f t="shared" si="43"/>
        <v>22876.696696319952</v>
      </c>
      <c r="F104" s="237"/>
      <c r="G104" s="237"/>
      <c r="H104" s="237"/>
      <c r="I104" s="237"/>
      <c r="J104" s="237"/>
      <c r="K104" s="237"/>
      <c r="L104" s="237"/>
      <c r="M104" s="237"/>
      <c r="N104" s="237"/>
      <c r="O104" s="237">
        <f>IF($D104=O$79,$E104/$E$92/2,MIN($E104/$E$92,$E104-SUM($J104:N104)))</f>
        <v>1143.8348348159975</v>
      </c>
      <c r="P104" s="237">
        <f>IF($D104=P$79,$E104/$E$92/2,MIN($E104/$E$92,$E104-SUM($J104:O104)))</f>
        <v>2287.669669631995</v>
      </c>
    </row>
    <row r="105" spans="2:16" x14ac:dyDescent="0.3">
      <c r="C105" s="227"/>
      <c r="D105" s="261" t="str">
        <f>P79</f>
        <v>FY2032E</v>
      </c>
      <c r="E105" s="237">
        <f t="shared" si="43"/>
        <v>22311.62441764096</v>
      </c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>
        <f>IF($D105=P$79,$E105/$E$92/2,MIN($E105/$E$92,$E105-SUM($J105:O105)))</f>
        <v>1115.581220882048</v>
      </c>
    </row>
    <row r="106" spans="2:16" x14ac:dyDescent="0.3">
      <c r="C106" s="226"/>
      <c r="D106" s="226" t="s">
        <v>594</v>
      </c>
      <c r="E106" s="231"/>
      <c r="F106" s="232">
        <f>'Raw Data'!E98</f>
        <v>7116</v>
      </c>
      <c r="G106" s="232">
        <f>'Raw Data'!F98</f>
        <v>7756</v>
      </c>
      <c r="H106" s="232">
        <f>'Raw Data'!G98</f>
        <v>7780</v>
      </c>
      <c r="I106" s="232">
        <f>'Raw Data'!H98</f>
        <v>8352</v>
      </c>
      <c r="J106" s="232">
        <f>'Raw Data'!M98 * 4/3</f>
        <v>9149.3333333333339</v>
      </c>
      <c r="K106" s="232">
        <f>K97+SUM(K100:K105)</f>
        <v>10893.130002193828</v>
      </c>
      <c r="L106" s="232">
        <f t="shared" ref="L106:P106" si="44">L97+SUM(L100:L105)</f>
        <v>14051.677407044577</v>
      </c>
      <c r="M106" s="232">
        <f t="shared" si="44"/>
        <v>16758.331352040506</v>
      </c>
      <c r="N106" s="232">
        <f t="shared" si="44"/>
        <v>19154.440533931425</v>
      </c>
      <c r="O106" s="232">
        <f t="shared" si="44"/>
        <v>21471.100389251707</v>
      </c>
      <c r="P106" s="232">
        <f t="shared" si="44"/>
        <v>23730.516444949753</v>
      </c>
    </row>
    <row r="107" spans="2:16" ht="6" customHeight="1" x14ac:dyDescent="0.3"/>
    <row r="108" spans="2:16" x14ac:dyDescent="0.3">
      <c r="C108" s="227"/>
      <c r="D108" s="227" t="s">
        <v>585</v>
      </c>
      <c r="E108" s="228"/>
      <c r="F108" s="237">
        <f>F109-(F94+F95-F106)</f>
        <v>500</v>
      </c>
      <c r="G108" s="237">
        <f t="shared" ref="G108:I108" si="45">G109-(G94+G95-G106)</f>
        <v>169</v>
      </c>
      <c r="H108" s="237">
        <f t="shared" si="45"/>
        <v>1530</v>
      </c>
      <c r="I108" s="237">
        <f t="shared" si="45"/>
        <v>1341</v>
      </c>
      <c r="J108" s="237">
        <f>J109-(J94+J95-J106)</f>
        <v>85</v>
      </c>
      <c r="K108" s="262">
        <v>0</v>
      </c>
      <c r="L108" s="262">
        <v>0</v>
      </c>
      <c r="M108" s="262">
        <v>0</v>
      </c>
      <c r="N108" s="262">
        <v>0</v>
      </c>
      <c r="O108" s="262">
        <v>0</v>
      </c>
      <c r="P108" s="262">
        <v>0</v>
      </c>
    </row>
    <row r="109" spans="2:16" x14ac:dyDescent="0.3">
      <c r="C109" s="226"/>
      <c r="D109" s="226" t="s">
        <v>595</v>
      </c>
      <c r="E109" s="231"/>
      <c r="F109" s="235">
        <f>'Raw Data'!E60</f>
        <v>38549</v>
      </c>
      <c r="G109" s="235">
        <f>'Raw Data'!F60</f>
        <v>37928</v>
      </c>
      <c r="H109" s="235">
        <f>'Raw Data'!G60</f>
        <v>39749</v>
      </c>
      <c r="I109" s="235">
        <f>'Raw Data'!H60</f>
        <v>46590</v>
      </c>
      <c r="J109" s="235">
        <f>'Raw Data'!M60 + (Schedules!J87 - (-'Raw Data'!M115-'Raw Data'!M119)) - (Schedules!J106 - 'Raw Data'!M98)</f>
        <v>64525.666666666664</v>
      </c>
      <c r="K109" s="235">
        <f>K94+K95-K106+K108</f>
        <v>87136.089089301793</v>
      </c>
      <c r="L109" s="235">
        <f t="shared" ref="L109:P109" si="46">L94+L95-L106+L108</f>
        <v>102751.80735444326</v>
      </c>
      <c r="M109" s="235">
        <f t="shared" si="46"/>
        <v>110459.15923013534</v>
      </c>
      <c r="N109" s="235">
        <f t="shared" si="46"/>
        <v>114761.21910628965</v>
      </c>
      <c r="O109" s="235">
        <f t="shared" si="46"/>
        <v>116166.81541335788</v>
      </c>
      <c r="P109" s="235">
        <f t="shared" si="46"/>
        <v>114747.92338604908</v>
      </c>
    </row>
    <row r="110" spans="2:16" ht="12.75" customHeight="1" x14ac:dyDescent="0.3"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</row>
    <row r="112" spans="2:16" ht="12.75" customHeight="1" x14ac:dyDescent="0.3">
      <c r="P112" s="219"/>
    </row>
    <row r="113" spans="2:16" ht="22.8" customHeight="1" x14ac:dyDescent="0.45"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</row>
    <row r="114" spans="2:16" ht="17.399999999999999" customHeight="1" x14ac:dyDescent="0.35">
      <c r="B114" s="221" t="s">
        <v>498</v>
      </c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</row>
    <row r="115" spans="2:16" ht="3" customHeight="1" x14ac:dyDescent="0.35"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</row>
    <row r="116" spans="2:16" ht="12.75" customHeight="1" x14ac:dyDescent="0.3"/>
    <row r="117" spans="2:16" x14ac:dyDescent="0.3">
      <c r="F117" s="223" t="s">
        <v>495</v>
      </c>
      <c r="G117" s="224"/>
      <c r="H117" s="224"/>
      <c r="I117" s="224"/>
      <c r="J117" s="223" t="s">
        <v>126</v>
      </c>
      <c r="K117" s="224"/>
      <c r="L117" s="224"/>
      <c r="M117" s="224"/>
      <c r="N117" s="224"/>
      <c r="O117" s="224"/>
      <c r="P117" s="224"/>
    </row>
    <row r="118" spans="2:16" x14ac:dyDescent="0.3">
      <c r="E118" s="225" t="s">
        <v>107</v>
      </c>
      <c r="F118" s="240" t="str">
        <f t="shared" ref="F118:P118" si="47">F79</f>
        <v>FY2022</v>
      </c>
      <c r="G118" s="240" t="str">
        <f t="shared" si="47"/>
        <v>FY2023</v>
      </c>
      <c r="H118" s="240" t="str">
        <f t="shared" si="47"/>
        <v>FY2024</v>
      </c>
      <c r="I118" s="240" t="str">
        <f t="shared" si="47"/>
        <v>FY2025</v>
      </c>
      <c r="J118" s="240" t="str">
        <f t="shared" si="47"/>
        <v>FY2026E</v>
      </c>
      <c r="K118" s="240" t="str">
        <f t="shared" si="47"/>
        <v>FY2027E</v>
      </c>
      <c r="L118" s="240" t="str">
        <f t="shared" si="47"/>
        <v>FY2028E</v>
      </c>
      <c r="M118" s="240" t="str">
        <f t="shared" si="47"/>
        <v>FY2029E</v>
      </c>
      <c r="N118" s="240" t="str">
        <f t="shared" si="47"/>
        <v>FY2030E</v>
      </c>
      <c r="O118" s="240" t="str">
        <f t="shared" si="47"/>
        <v>FY2031E</v>
      </c>
      <c r="P118" s="240" t="str">
        <f t="shared" si="47"/>
        <v>FY2032E</v>
      </c>
    </row>
    <row r="119" spans="2:16" ht="6" customHeight="1" x14ac:dyDescent="0.3"/>
    <row r="120" spans="2:16" x14ac:dyDescent="0.3">
      <c r="C120" s="226" t="s">
        <v>598</v>
      </c>
    </row>
    <row r="121" spans="2:16" x14ac:dyDescent="0.3">
      <c r="C121" s="227"/>
      <c r="D121" s="227" t="s">
        <v>346</v>
      </c>
      <c r="E121" s="228" t="s">
        <v>599</v>
      </c>
      <c r="F121" s="237">
        <f>'Historical Drivers'!D8</f>
        <v>365</v>
      </c>
      <c r="G121" s="237">
        <f>'Historical Drivers'!E8</f>
        <v>365</v>
      </c>
      <c r="H121" s="237">
        <f>'Historical Drivers'!F8</f>
        <v>365</v>
      </c>
      <c r="I121" s="237">
        <f>'Historical Drivers'!G8</f>
        <v>365</v>
      </c>
      <c r="J121" s="237">
        <f>I121</f>
        <v>365</v>
      </c>
      <c r="K121" s="237">
        <f>J121</f>
        <v>365</v>
      </c>
      <c r="L121" s="237">
        <f t="shared" ref="L121:P121" si="48">K121</f>
        <v>365</v>
      </c>
      <c r="M121" s="237">
        <f t="shared" si="48"/>
        <v>365</v>
      </c>
      <c r="N121" s="237">
        <f t="shared" si="48"/>
        <v>365</v>
      </c>
      <c r="O121" s="237">
        <f t="shared" si="48"/>
        <v>365</v>
      </c>
      <c r="P121" s="237">
        <f t="shared" si="48"/>
        <v>365</v>
      </c>
    </row>
    <row r="122" spans="2:16" x14ac:dyDescent="0.3">
      <c r="C122" s="227"/>
      <c r="D122" s="227" t="s">
        <v>89</v>
      </c>
      <c r="E122" s="228" t="s">
        <v>505</v>
      </c>
      <c r="F122" s="237">
        <f>F30</f>
        <v>30758</v>
      </c>
      <c r="G122" s="237">
        <f t="shared" ref="G122:P122" si="49">G30</f>
        <v>15540</v>
      </c>
      <c r="H122" s="237">
        <f t="shared" si="49"/>
        <v>25111</v>
      </c>
      <c r="I122" s="237">
        <f t="shared" si="49"/>
        <v>37378</v>
      </c>
      <c r="J122" s="237">
        <f t="shared" si="49"/>
        <v>128959</v>
      </c>
      <c r="K122" s="237">
        <f t="shared" si="49"/>
        <v>145667.61923838675</v>
      </c>
      <c r="L122" s="237">
        <f t="shared" si="49"/>
        <v>92134.769168279629</v>
      </c>
      <c r="M122" s="237">
        <f t="shared" si="49"/>
        <v>69981.931429441029</v>
      </c>
      <c r="N122" s="237">
        <f t="shared" si="49"/>
        <v>72846.274565483618</v>
      </c>
      <c r="O122" s="237">
        <f t="shared" si="49"/>
        <v>71045.641914037114</v>
      </c>
      <c r="P122" s="237">
        <f t="shared" si="49"/>
        <v>69290.759060996774</v>
      </c>
    </row>
    <row r="123" spans="2:16" x14ac:dyDescent="0.3">
      <c r="C123" s="227"/>
      <c r="D123" s="227" t="s">
        <v>561</v>
      </c>
      <c r="E123" s="228" t="s">
        <v>505</v>
      </c>
      <c r="F123" s="237">
        <f>F52</f>
        <v>16860</v>
      </c>
      <c r="G123" s="237">
        <f t="shared" ref="G123:P123" si="50">G52</f>
        <v>16956</v>
      </c>
      <c r="H123" s="237">
        <f t="shared" si="50"/>
        <v>19498</v>
      </c>
      <c r="I123" s="237">
        <f t="shared" si="50"/>
        <v>22505</v>
      </c>
      <c r="J123" s="237">
        <f t="shared" si="50"/>
        <v>25502</v>
      </c>
      <c r="K123" s="237">
        <f t="shared" si="50"/>
        <v>25808.024000000001</v>
      </c>
      <c r="L123" s="237">
        <f t="shared" si="50"/>
        <v>27304.889392000001</v>
      </c>
      <c r="M123" s="237">
        <f t="shared" si="50"/>
        <v>29354.674198702207</v>
      </c>
      <c r="N123" s="237">
        <f t="shared" si="50"/>
        <v>31235.179388582455</v>
      </c>
      <c r="O123" s="237">
        <f t="shared" si="50"/>
        <v>33239.985037267783</v>
      </c>
      <c r="P123" s="237">
        <f t="shared" si="50"/>
        <v>35371.84846668625</v>
      </c>
    </row>
    <row r="124" spans="2:16" ht="6" customHeight="1" x14ac:dyDescent="0.3"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</row>
    <row r="125" spans="2:16" x14ac:dyDescent="0.3">
      <c r="C125" s="226" t="s">
        <v>600</v>
      </c>
      <c r="G125" s="263"/>
      <c r="H125" s="263"/>
      <c r="I125" s="263"/>
    </row>
    <row r="126" spans="2:16" x14ac:dyDescent="0.3">
      <c r="C126" s="227"/>
      <c r="D126" s="227" t="s">
        <v>601</v>
      </c>
      <c r="E126" s="228" t="s">
        <v>599</v>
      </c>
      <c r="F126" s="238">
        <f>F133*F121/F122</f>
        <v>60.876845048442682</v>
      </c>
      <c r="G126" s="238">
        <f t="shared" ref="G126:I126" si="51">G133*G121/G122</f>
        <v>57.380630630630634</v>
      </c>
      <c r="H126" s="238">
        <f t="shared" si="51"/>
        <v>96.152084743737802</v>
      </c>
      <c r="I126" s="238">
        <f t="shared" si="51"/>
        <v>90.473674353898019</v>
      </c>
      <c r="J126" s="238">
        <f>'Raw Data'!M53/'Raw Data'!M18 * 'Historical Drivers'!$H$8</f>
        <v>107.26864575285907</v>
      </c>
      <c r="K126" s="238">
        <f>Assumptions!K65</f>
        <v>76</v>
      </c>
      <c r="L126" s="238">
        <f>Assumptions!L65</f>
        <v>76</v>
      </c>
      <c r="M126" s="238">
        <f>Assumptions!M65</f>
        <v>76</v>
      </c>
      <c r="N126" s="238">
        <f>Assumptions!N65</f>
        <v>76</v>
      </c>
      <c r="O126" s="238">
        <f>Assumptions!O65</f>
        <v>76</v>
      </c>
      <c r="P126" s="238">
        <f>Assumptions!P65</f>
        <v>76</v>
      </c>
    </row>
    <row r="127" spans="2:16" x14ac:dyDescent="0.3">
      <c r="C127" s="227"/>
      <c r="D127" s="227" t="s">
        <v>602</v>
      </c>
      <c r="E127" s="228" t="s">
        <v>599</v>
      </c>
      <c r="F127" s="238">
        <f>F134*F121/F123</f>
        <v>144.2464412811388</v>
      </c>
      <c r="G127" s="238">
        <f t="shared" ref="G127:I127" si="52">G134*G121/G123</f>
        <v>180.54110639301723</v>
      </c>
      <c r="H127" s="238">
        <f t="shared" si="52"/>
        <v>166.13883475228229</v>
      </c>
      <c r="I127" s="238">
        <f t="shared" si="52"/>
        <v>135.5065540990891</v>
      </c>
      <c r="J127" s="238">
        <f>'Raw Data'!M54/'Raw Data'!M19 * 'Historical Drivers'!$H$8</f>
        <v>126.40746946276079</v>
      </c>
      <c r="K127" s="238">
        <f>Assumptions!K66</f>
        <v>150</v>
      </c>
      <c r="L127" s="238">
        <f>Assumptions!L66</f>
        <v>150</v>
      </c>
      <c r="M127" s="238">
        <f>Assumptions!M66</f>
        <v>150</v>
      </c>
      <c r="N127" s="238">
        <f>Assumptions!N66</f>
        <v>150</v>
      </c>
      <c r="O127" s="238">
        <f>Assumptions!O66</f>
        <v>150</v>
      </c>
      <c r="P127" s="238">
        <f>Assumptions!P66</f>
        <v>150</v>
      </c>
    </row>
    <row r="128" spans="2:16" x14ac:dyDescent="0.3">
      <c r="C128" s="227"/>
      <c r="D128" s="227" t="s">
        <v>603</v>
      </c>
      <c r="E128" s="228" t="s">
        <v>599</v>
      </c>
      <c r="F128" s="238">
        <f>F135*F121/F123</f>
        <v>14.223309608540925</v>
      </c>
      <c r="G128" s="238">
        <f t="shared" ref="G128:I128" si="53">G135*G121/G123</f>
        <v>17.651568766218446</v>
      </c>
      <c r="H128" s="238">
        <f t="shared" si="53"/>
        <v>14.526618114678428</v>
      </c>
      <c r="I128" s="238">
        <f t="shared" si="53"/>
        <v>14.823816929571207</v>
      </c>
      <c r="J128" s="238">
        <f>'Raw Data'!M56/'Raw Data'!M19 * 'Historical Drivers'!H8</f>
        <v>16.570046481461464</v>
      </c>
      <c r="K128" s="265">
        <f>Assumptions!K68</f>
        <v>15</v>
      </c>
      <c r="L128" s="265">
        <f>Assumptions!L68</f>
        <v>15</v>
      </c>
      <c r="M128" s="265">
        <f>Assumptions!M68</f>
        <v>15</v>
      </c>
      <c r="N128" s="265">
        <f>Assumptions!N68</f>
        <v>15</v>
      </c>
      <c r="O128" s="265">
        <f>Assumptions!O68</f>
        <v>15</v>
      </c>
      <c r="P128" s="265">
        <f>Assumptions!P68</f>
        <v>15</v>
      </c>
    </row>
    <row r="129" spans="2:16" x14ac:dyDescent="0.3">
      <c r="C129" s="227"/>
      <c r="D129" s="227" t="s">
        <v>604</v>
      </c>
      <c r="E129" s="228" t="s">
        <v>599</v>
      </c>
      <c r="F129" s="238">
        <f>F136*F121/F123</f>
        <v>131.84163701067615</v>
      </c>
      <c r="G129" s="238">
        <f t="shared" ref="G129:I129" si="54">G136*G121/G123</f>
        <v>85.201108752064172</v>
      </c>
      <c r="H129" s="238">
        <f t="shared" si="54"/>
        <v>136.63632167401784</v>
      </c>
      <c r="I129" s="238">
        <f t="shared" si="54"/>
        <v>156.4934459009109</v>
      </c>
      <c r="J129" s="238">
        <f>'Raw Data'!M70/'Raw Data'!M19*'Historical Drivers'!$H$8</f>
        <v>229.01486325802617</v>
      </c>
      <c r="K129" s="238">
        <f>Assumptions!K67</f>
        <v>128</v>
      </c>
      <c r="L129" s="238">
        <f>Assumptions!L67</f>
        <v>128</v>
      </c>
      <c r="M129" s="238">
        <f>Assumptions!M67</f>
        <v>128</v>
      </c>
      <c r="N129" s="238">
        <f>Assumptions!N67</f>
        <v>128</v>
      </c>
      <c r="O129" s="238">
        <f>Assumptions!O67</f>
        <v>128</v>
      </c>
      <c r="P129" s="238">
        <f>Assumptions!P67</f>
        <v>128</v>
      </c>
    </row>
    <row r="130" spans="2:16" x14ac:dyDescent="0.3">
      <c r="C130" s="227"/>
      <c r="D130" s="227" t="s">
        <v>605</v>
      </c>
      <c r="E130" s="228" t="s">
        <v>599</v>
      </c>
      <c r="F130" s="238">
        <f>F137*F121/F122</f>
        <v>15.972755055595293</v>
      </c>
      <c r="G130" s="238">
        <f t="shared" ref="G130:I130" si="55">G137*G121/G122</f>
        <v>12.425032175032175</v>
      </c>
      <c r="H130" s="238">
        <f t="shared" si="55"/>
        <v>22.06483214527498</v>
      </c>
      <c r="I130" s="238">
        <f t="shared" si="55"/>
        <v>12.157552571031088</v>
      </c>
      <c r="J130" s="238">
        <f>'Raw Data'!M72/'Raw Data'!M18*'Historical Drivers'!$H$8</f>
        <v>11.703605668764801</v>
      </c>
      <c r="K130" s="238">
        <f>Assumptions!K69</f>
        <v>16</v>
      </c>
      <c r="L130" s="238">
        <f>Assumptions!L69</f>
        <v>16</v>
      </c>
      <c r="M130" s="238">
        <f>Assumptions!M69</f>
        <v>16</v>
      </c>
      <c r="N130" s="238">
        <f>Assumptions!N69</f>
        <v>16</v>
      </c>
      <c r="O130" s="238">
        <f>Assumptions!O69</f>
        <v>16</v>
      </c>
      <c r="P130" s="238">
        <f>Assumptions!P69</f>
        <v>16</v>
      </c>
    </row>
    <row r="131" spans="2:16" ht="6" customHeight="1" x14ac:dyDescent="0.3"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</row>
    <row r="132" spans="2:16" x14ac:dyDescent="0.3">
      <c r="C132" s="226" t="s">
        <v>606</v>
      </c>
      <c r="G132" s="263"/>
      <c r="H132" s="263"/>
      <c r="I132" s="263"/>
    </row>
    <row r="133" spans="2:16" x14ac:dyDescent="0.3">
      <c r="C133" s="227"/>
      <c r="D133" s="227" t="s">
        <v>277</v>
      </c>
      <c r="E133" s="228" t="s">
        <v>505</v>
      </c>
      <c r="F133" s="237">
        <f>'Raw Data'!E53</f>
        <v>5130</v>
      </c>
      <c r="G133" s="237">
        <f>'Raw Data'!F53</f>
        <v>2443</v>
      </c>
      <c r="H133" s="237">
        <f>'Raw Data'!G53</f>
        <v>6615</v>
      </c>
      <c r="I133" s="237">
        <f>'Raw Data'!H53</f>
        <v>9265</v>
      </c>
      <c r="J133" s="237">
        <f>J126*J122/J121</f>
        <v>37899.335034638229</v>
      </c>
      <c r="K133" s="237">
        <f t="shared" ref="K133:P133" si="56">K126*K122/K121</f>
        <v>30330.791951006555</v>
      </c>
      <c r="L133" s="237">
        <f t="shared" si="56"/>
        <v>19184.225909011649</v>
      </c>
      <c r="M133" s="237">
        <f t="shared" si="56"/>
        <v>14571.580242842514</v>
      </c>
      <c r="N133" s="237">
        <f t="shared" si="56"/>
        <v>15167.991416374671</v>
      </c>
      <c r="O133" s="237">
        <f t="shared" si="56"/>
        <v>14793.065165662523</v>
      </c>
      <c r="P133" s="237">
        <f t="shared" si="56"/>
        <v>14427.66490037193</v>
      </c>
    </row>
    <row r="134" spans="2:16" x14ac:dyDescent="0.3">
      <c r="C134" s="227"/>
      <c r="D134" s="227" t="s">
        <v>160</v>
      </c>
      <c r="E134" s="228" t="s">
        <v>505</v>
      </c>
      <c r="F134" s="237">
        <f>'Raw Data'!E54</f>
        <v>6663</v>
      </c>
      <c r="G134" s="237">
        <f>'Raw Data'!F54</f>
        <v>8387</v>
      </c>
      <c r="H134" s="237">
        <f>'Raw Data'!G54</f>
        <v>8875</v>
      </c>
      <c r="I134" s="237">
        <f>'Raw Data'!H54</f>
        <v>8355</v>
      </c>
      <c r="J134" s="237">
        <f>J127*J123/J121</f>
        <v>8831.8994143543168</v>
      </c>
      <c r="K134" s="237">
        <f t="shared" ref="K134:P134" si="57">K127*K123/K121</f>
        <v>10606.037260273974</v>
      </c>
      <c r="L134" s="237">
        <f t="shared" si="57"/>
        <v>11221.187421369865</v>
      </c>
      <c r="M134" s="237">
        <f t="shared" si="57"/>
        <v>12063.564739192689</v>
      </c>
      <c r="N134" s="237">
        <f t="shared" si="57"/>
        <v>12836.37509119827</v>
      </c>
      <c r="O134" s="237">
        <f t="shared" si="57"/>
        <v>13660.267823534707</v>
      </c>
      <c r="P134" s="237">
        <f t="shared" si="57"/>
        <v>14536.376082199829</v>
      </c>
    </row>
    <row r="135" spans="2:16" x14ac:dyDescent="0.3">
      <c r="C135" s="227"/>
      <c r="D135" s="227" t="s">
        <v>161</v>
      </c>
      <c r="E135" s="228" t="s">
        <v>505</v>
      </c>
      <c r="F135" s="237">
        <f>'Raw Data'!E56</f>
        <v>657</v>
      </c>
      <c r="G135" s="237">
        <f>'Raw Data'!F56</f>
        <v>820</v>
      </c>
      <c r="H135" s="237">
        <f>'Raw Data'!G56</f>
        <v>776</v>
      </c>
      <c r="I135" s="237">
        <f>'Raw Data'!H56</f>
        <v>914</v>
      </c>
      <c r="J135" s="237">
        <f>J128*J123/J121</f>
        <v>1157.7241790965213</v>
      </c>
      <c r="K135" s="237">
        <f t="shared" ref="K135:P135" si="58">K128*K123/K121</f>
        <v>1060.6037260273974</v>
      </c>
      <c r="L135" s="237">
        <f t="shared" si="58"/>
        <v>1122.1187421369864</v>
      </c>
      <c r="M135" s="237">
        <f t="shared" si="58"/>
        <v>1206.3564739192689</v>
      </c>
      <c r="N135" s="237">
        <f t="shared" si="58"/>
        <v>1283.637509119827</v>
      </c>
      <c r="O135" s="237">
        <f t="shared" si="58"/>
        <v>1366.0267823534705</v>
      </c>
      <c r="P135" s="237">
        <f t="shared" si="58"/>
        <v>1453.6376082199829</v>
      </c>
    </row>
    <row r="136" spans="2:16" x14ac:dyDescent="0.3">
      <c r="C136" s="227"/>
      <c r="D136" s="227" t="s">
        <v>607</v>
      </c>
      <c r="E136" s="228" t="s">
        <v>505</v>
      </c>
      <c r="F136" s="237">
        <f>'Raw Data'!E70</f>
        <v>6090</v>
      </c>
      <c r="G136" s="237">
        <f>'Raw Data'!F70</f>
        <v>3958</v>
      </c>
      <c r="H136" s="237">
        <f>'Raw Data'!G70</f>
        <v>7299</v>
      </c>
      <c r="I136" s="237">
        <f>'Raw Data'!H70</f>
        <v>9649</v>
      </c>
      <c r="J136" s="237">
        <f>J129*J123/J121</f>
        <v>16000.923404948446</v>
      </c>
      <c r="K136" s="237">
        <f t="shared" ref="K136:P136" si="59">K129*K123/K121</f>
        <v>9050.4851287671245</v>
      </c>
      <c r="L136" s="237">
        <f t="shared" si="59"/>
        <v>9575.4132662356169</v>
      </c>
      <c r="M136" s="237">
        <f t="shared" si="59"/>
        <v>10294.24191077776</v>
      </c>
      <c r="N136" s="237">
        <f t="shared" si="59"/>
        <v>10953.706744489189</v>
      </c>
      <c r="O136" s="237">
        <f t="shared" si="59"/>
        <v>11656.761876082948</v>
      </c>
      <c r="P136" s="237">
        <f t="shared" si="59"/>
        <v>12404.374256810521</v>
      </c>
    </row>
    <row r="137" spans="2:16" x14ac:dyDescent="0.3">
      <c r="C137" s="227"/>
      <c r="D137" s="227" t="s">
        <v>171</v>
      </c>
      <c r="E137" s="228" t="s">
        <v>505</v>
      </c>
      <c r="F137" s="237">
        <f>'Raw Data'!E72</f>
        <v>1346</v>
      </c>
      <c r="G137" s="237">
        <f>'Raw Data'!F72</f>
        <v>529</v>
      </c>
      <c r="H137" s="237">
        <f>'Raw Data'!G72</f>
        <v>1518</v>
      </c>
      <c r="I137" s="237">
        <f>'Raw Data'!H72</f>
        <v>1245</v>
      </c>
      <c r="J137" s="237">
        <f>J130*J122/J121</f>
        <v>4135.0281738033973</v>
      </c>
      <c r="K137" s="237">
        <f t="shared" ref="K137:P137" si="60">K130*K122/K121</f>
        <v>6385.4298844224331</v>
      </c>
      <c r="L137" s="237">
        <f t="shared" si="60"/>
        <v>4038.7844018971891</v>
      </c>
      <c r="M137" s="237">
        <f t="shared" si="60"/>
        <v>3067.7011037563188</v>
      </c>
      <c r="N137" s="237">
        <f t="shared" si="60"/>
        <v>3193.2613508157201</v>
      </c>
      <c r="O137" s="237">
        <f t="shared" si="60"/>
        <v>3114.3295085605309</v>
      </c>
      <c r="P137" s="237">
        <f t="shared" si="60"/>
        <v>3037.4031369204067</v>
      </c>
    </row>
    <row r="138" spans="2:16" x14ac:dyDescent="0.3">
      <c r="C138" s="226"/>
      <c r="D138" s="226" t="s">
        <v>409</v>
      </c>
      <c r="E138" s="231" t="s">
        <v>505</v>
      </c>
      <c r="F138" s="232">
        <f>F133+F134+F135-F136-F137</f>
        <v>5014</v>
      </c>
      <c r="G138" s="232">
        <f t="shared" ref="G138:P138" si="61">G133+G134+G135-G136-G137</f>
        <v>7163</v>
      </c>
      <c r="H138" s="232">
        <f t="shared" si="61"/>
        <v>7449</v>
      </c>
      <c r="I138" s="232">
        <f t="shared" si="61"/>
        <v>7640</v>
      </c>
      <c r="J138" s="232">
        <f t="shared" si="61"/>
        <v>27753.007049337226</v>
      </c>
      <c r="K138" s="232">
        <f t="shared" si="61"/>
        <v>26561.517924118365</v>
      </c>
      <c r="L138" s="232">
        <f t="shared" si="61"/>
        <v>17913.334404385696</v>
      </c>
      <c r="M138" s="232">
        <f t="shared" si="61"/>
        <v>14479.558441420393</v>
      </c>
      <c r="N138" s="232">
        <f t="shared" si="61"/>
        <v>15141.035921387858</v>
      </c>
      <c r="O138" s="232">
        <f t="shared" si="61"/>
        <v>15048.268386907224</v>
      </c>
      <c r="P138" s="232">
        <f t="shared" si="61"/>
        <v>14975.901197060815</v>
      </c>
    </row>
    <row r="139" spans="2:16" ht="6" customHeight="1" x14ac:dyDescent="0.3"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</row>
    <row r="140" spans="2:16" x14ac:dyDescent="0.3">
      <c r="C140" s="226"/>
      <c r="D140" s="226" t="s">
        <v>608</v>
      </c>
      <c r="E140" s="231" t="s">
        <v>505</v>
      </c>
      <c r="F140" s="232"/>
      <c r="G140" s="232">
        <f>F138-G138</f>
        <v>-2149</v>
      </c>
      <c r="H140" s="232">
        <f t="shared" ref="H140:P140" si="62">G138-H138</f>
        <v>-286</v>
      </c>
      <c r="I140" s="232">
        <f t="shared" si="62"/>
        <v>-191</v>
      </c>
      <c r="J140" s="232">
        <f t="shared" si="62"/>
        <v>-20113.007049337226</v>
      </c>
      <c r="K140" s="232">
        <f t="shared" si="62"/>
        <v>1191.4891252188609</v>
      </c>
      <c r="L140" s="232">
        <f t="shared" si="62"/>
        <v>8648.1835197326691</v>
      </c>
      <c r="M140" s="232">
        <f t="shared" si="62"/>
        <v>3433.7759629653028</v>
      </c>
      <c r="N140" s="232">
        <f t="shared" si="62"/>
        <v>-661.47747996746511</v>
      </c>
      <c r="O140" s="232">
        <f t="shared" si="62"/>
        <v>92.767534480633913</v>
      </c>
      <c r="P140" s="232">
        <f t="shared" si="62"/>
        <v>72.367189846409019</v>
      </c>
    </row>
    <row r="141" spans="2:16" ht="12.75" customHeight="1" x14ac:dyDescent="0.3"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</row>
    <row r="143" spans="2:16" ht="12.75" customHeight="1" x14ac:dyDescent="0.3">
      <c r="P143" s="219"/>
    </row>
    <row r="144" spans="2:16" ht="22.8" customHeight="1" x14ac:dyDescent="0.45"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</row>
    <row r="145" spans="2:16" ht="17.399999999999999" customHeight="1" x14ac:dyDescent="0.35">
      <c r="B145" s="221" t="s">
        <v>499</v>
      </c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</row>
    <row r="146" spans="2:16" ht="3" customHeight="1" x14ac:dyDescent="0.35"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</row>
    <row r="147" spans="2:16" ht="12.75" customHeight="1" x14ac:dyDescent="0.3"/>
    <row r="148" spans="2:16" x14ac:dyDescent="0.3">
      <c r="F148" s="223" t="s">
        <v>495</v>
      </c>
      <c r="G148" s="224"/>
      <c r="H148" s="224"/>
      <c r="I148" s="224"/>
      <c r="J148" s="223" t="s">
        <v>126</v>
      </c>
      <c r="K148" s="224"/>
      <c r="L148" s="224"/>
      <c r="M148" s="224"/>
      <c r="N148" s="224"/>
      <c r="O148" s="224"/>
      <c r="P148" s="224"/>
    </row>
    <row r="149" spans="2:16" x14ac:dyDescent="0.3">
      <c r="E149" s="225" t="s">
        <v>107</v>
      </c>
      <c r="F149" s="240" t="str">
        <f>F118</f>
        <v>FY2022</v>
      </c>
      <c r="G149" s="240" t="str">
        <f t="shared" ref="G149:P149" si="63">G118</f>
        <v>FY2023</v>
      </c>
      <c r="H149" s="240" t="str">
        <f t="shared" si="63"/>
        <v>FY2024</v>
      </c>
      <c r="I149" s="240" t="str">
        <f t="shared" si="63"/>
        <v>FY2025</v>
      </c>
      <c r="J149" s="240" t="str">
        <f t="shared" si="63"/>
        <v>FY2026E</v>
      </c>
      <c r="K149" s="240" t="str">
        <f t="shared" si="63"/>
        <v>FY2027E</v>
      </c>
      <c r="L149" s="240" t="str">
        <f t="shared" si="63"/>
        <v>FY2028E</v>
      </c>
      <c r="M149" s="240" t="str">
        <f t="shared" si="63"/>
        <v>FY2029E</v>
      </c>
      <c r="N149" s="240" t="str">
        <f t="shared" si="63"/>
        <v>FY2030E</v>
      </c>
      <c r="O149" s="240" t="str">
        <f t="shared" si="63"/>
        <v>FY2031E</v>
      </c>
      <c r="P149" s="240" t="str">
        <f t="shared" si="63"/>
        <v>FY2032E</v>
      </c>
    </row>
    <row r="150" spans="2:16" ht="6" customHeight="1" x14ac:dyDescent="0.3"/>
    <row r="151" spans="2:16" x14ac:dyDescent="0.3">
      <c r="C151" s="226" t="s">
        <v>611</v>
      </c>
    </row>
    <row r="152" spans="2:16" x14ac:dyDescent="0.3">
      <c r="C152" s="227"/>
      <c r="D152" s="227" t="s">
        <v>151</v>
      </c>
      <c r="E152" s="228" t="s">
        <v>505</v>
      </c>
      <c r="F152" s="237">
        <f>F69</f>
        <v>9702</v>
      </c>
      <c r="G152" s="237">
        <f t="shared" ref="G152:P152" si="64">G69</f>
        <v>-5745</v>
      </c>
      <c r="H152" s="237">
        <f t="shared" si="64"/>
        <v>1304</v>
      </c>
      <c r="I152" s="237">
        <f t="shared" si="64"/>
        <v>9770</v>
      </c>
      <c r="J152" s="237">
        <f t="shared" si="64"/>
        <v>96729</v>
      </c>
      <c r="K152" s="237">
        <f t="shared" si="64"/>
        <v>112554.22485863991</v>
      </c>
      <c r="L152" s="237">
        <f t="shared" si="64"/>
        <v>56826.881462355581</v>
      </c>
      <c r="M152" s="237">
        <f t="shared" si="64"/>
        <v>31859.500917523626</v>
      </c>
      <c r="N152" s="237">
        <f t="shared" si="64"/>
        <v>32004.948411033816</v>
      </c>
      <c r="O152" s="237">
        <f t="shared" si="64"/>
        <v>27280.351427278169</v>
      </c>
      <c r="P152" s="237">
        <f t="shared" si="64"/>
        <v>22385.847072270193</v>
      </c>
    </row>
    <row r="153" spans="2:16" x14ac:dyDescent="0.3">
      <c r="C153" s="227"/>
      <c r="D153" s="227" t="s">
        <v>152</v>
      </c>
      <c r="E153" s="228" t="s">
        <v>505</v>
      </c>
      <c r="F153" s="237">
        <f>F275</f>
        <v>96</v>
      </c>
      <c r="G153" s="237">
        <f t="shared" ref="G153:I153" si="65">G275</f>
        <v>468</v>
      </c>
      <c r="H153" s="237">
        <f t="shared" si="65"/>
        <v>529</v>
      </c>
      <c r="I153" s="237">
        <f t="shared" si="65"/>
        <v>496</v>
      </c>
      <c r="J153" s="237">
        <f>'Raw Data'!M28+'Raw Data'!L28</f>
        <v>724</v>
      </c>
      <c r="K153" s="237">
        <f>K185</f>
        <v>1803.146844939864</v>
      </c>
      <c r="L153" s="237">
        <f t="shared" ref="L153:P153" si="66">L185</f>
        <v>4424.0848937117926</v>
      </c>
      <c r="M153" s="237">
        <f t="shared" si="66"/>
        <v>5968.4913327154891</v>
      </c>
      <c r="N153" s="237">
        <f t="shared" si="66"/>
        <v>6907.6963512146658</v>
      </c>
      <c r="O153" s="237">
        <f t="shared" si="66"/>
        <v>7852.0989814272962</v>
      </c>
      <c r="P153" s="237">
        <f t="shared" si="66"/>
        <v>8799.4662650457176</v>
      </c>
    </row>
    <row r="154" spans="2:16" x14ac:dyDescent="0.3">
      <c r="C154" s="227"/>
      <c r="D154" s="227" t="s">
        <v>153</v>
      </c>
      <c r="E154" s="228" t="s">
        <v>505</v>
      </c>
      <c r="F154" s="237">
        <f>F276</f>
        <v>-189</v>
      </c>
      <c r="G154" s="237">
        <f t="shared" ref="G154:I154" si="67">G276</f>
        <v>-388</v>
      </c>
      <c r="H154" s="237">
        <f t="shared" si="67"/>
        <v>-562</v>
      </c>
      <c r="I154" s="237">
        <f t="shared" si="67"/>
        <v>-477</v>
      </c>
      <c r="J154" s="237">
        <f>'Raw Data'!M29+'Raw Data'!L29</f>
        <v>-106</v>
      </c>
      <c r="K154" s="237">
        <f>-K215</f>
        <v>-248.10399999999998</v>
      </c>
      <c r="L154" s="237">
        <f t="shared" ref="L154:P154" si="68">-L215</f>
        <v>-248.10399999999998</v>
      </c>
      <c r="M154" s="237">
        <f t="shared" si="68"/>
        <v>-248.10399999999998</v>
      </c>
      <c r="N154" s="237">
        <f t="shared" si="68"/>
        <v>-248.10399999999998</v>
      </c>
      <c r="O154" s="237">
        <f t="shared" si="68"/>
        <v>-248.10399999999998</v>
      </c>
      <c r="P154" s="237">
        <f t="shared" si="68"/>
        <v>-237.66399999999999</v>
      </c>
    </row>
    <row r="155" spans="2:16" x14ac:dyDescent="0.3">
      <c r="C155" s="227"/>
      <c r="D155" s="227" t="s">
        <v>543</v>
      </c>
      <c r="E155" s="228" t="s">
        <v>505</v>
      </c>
      <c r="F155" s="237">
        <f>F277</f>
        <v>-38</v>
      </c>
      <c r="G155" s="237">
        <f t="shared" ref="G155:I155" si="69">G277</f>
        <v>7</v>
      </c>
      <c r="H155" s="237">
        <f t="shared" si="69"/>
        <v>-31</v>
      </c>
      <c r="I155" s="237">
        <f t="shared" si="69"/>
        <v>-135</v>
      </c>
      <c r="J155" s="237">
        <f>'Raw Data'!M30</f>
        <v>-559</v>
      </c>
      <c r="K155" s="237">
        <f>Assumptions!K90</f>
        <v>0</v>
      </c>
      <c r="L155" s="237">
        <f>Assumptions!L90</f>
        <v>0</v>
      </c>
      <c r="M155" s="237">
        <f>Assumptions!M90</f>
        <v>0</v>
      </c>
      <c r="N155" s="237">
        <f>Assumptions!N90</f>
        <v>0</v>
      </c>
      <c r="O155" s="237">
        <f>Assumptions!O90</f>
        <v>0</v>
      </c>
      <c r="P155" s="237">
        <f>Assumptions!P90</f>
        <v>0</v>
      </c>
    </row>
    <row r="156" spans="2:16" x14ac:dyDescent="0.3">
      <c r="C156" s="226"/>
      <c r="D156" s="226" t="s">
        <v>611</v>
      </c>
      <c r="E156" s="231" t="s">
        <v>505</v>
      </c>
      <c r="F156" s="232">
        <f>SUM(F152:F155)</f>
        <v>9571</v>
      </c>
      <c r="G156" s="232">
        <f t="shared" ref="G156:P156" si="70">SUM(G152:G155)</f>
        <v>-5658</v>
      </c>
      <c r="H156" s="232">
        <f t="shared" si="70"/>
        <v>1240</v>
      </c>
      <c r="I156" s="232">
        <f t="shared" si="70"/>
        <v>9654</v>
      </c>
      <c r="J156" s="232">
        <f t="shared" si="70"/>
        <v>96788</v>
      </c>
      <c r="K156" s="232">
        <f t="shared" si="70"/>
        <v>114109.26770357977</v>
      </c>
      <c r="L156" s="232">
        <f t="shared" si="70"/>
        <v>61002.862356067373</v>
      </c>
      <c r="M156" s="232">
        <f t="shared" si="70"/>
        <v>37579.888250239113</v>
      </c>
      <c r="N156" s="232">
        <f t="shared" si="70"/>
        <v>38664.540762248485</v>
      </c>
      <c r="O156" s="232">
        <f t="shared" si="70"/>
        <v>34884.346408705467</v>
      </c>
      <c r="P156" s="232">
        <f t="shared" si="70"/>
        <v>30947.64933731591</v>
      </c>
    </row>
    <row r="157" spans="2:16" ht="6" customHeight="1" x14ac:dyDescent="0.3"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</row>
    <row r="158" spans="2:16" x14ac:dyDescent="0.3">
      <c r="C158" s="226" t="s">
        <v>612</v>
      </c>
    </row>
    <row r="159" spans="2:16" x14ac:dyDescent="0.3">
      <c r="C159" s="227"/>
      <c r="D159" s="227" t="s">
        <v>609</v>
      </c>
      <c r="E159" s="228" t="s">
        <v>529</v>
      </c>
      <c r="F159" s="229"/>
      <c r="G159" s="229"/>
      <c r="H159" s="229"/>
      <c r="I159" s="229"/>
      <c r="J159" s="229"/>
      <c r="K159" s="229">
        <f>Assumptions!K72</f>
        <v>0.21</v>
      </c>
      <c r="L159" s="229">
        <f>Assumptions!L72</f>
        <v>0.21</v>
      </c>
      <c r="M159" s="229">
        <f>Assumptions!M72</f>
        <v>0.21</v>
      </c>
      <c r="N159" s="229">
        <f>Assumptions!N72</f>
        <v>0.21</v>
      </c>
      <c r="O159" s="229">
        <f>Assumptions!O72</f>
        <v>0.21</v>
      </c>
      <c r="P159" s="229">
        <f>Assumptions!P72</f>
        <v>0.21</v>
      </c>
    </row>
    <row r="160" spans="2:16" x14ac:dyDescent="0.3">
      <c r="C160" s="227"/>
      <c r="D160" s="227" t="s">
        <v>414</v>
      </c>
      <c r="E160" s="228" t="s">
        <v>529</v>
      </c>
      <c r="F160" s="229">
        <f>F161/F156</f>
        <v>9.2780273743600455E-2</v>
      </c>
      <c r="G160" s="229">
        <f t="shared" ref="G160:J160" si="71">G161/G156</f>
        <v>-3.1283138918345707E-2</v>
      </c>
      <c r="H160" s="229">
        <f t="shared" si="71"/>
        <v>0.36370967741935484</v>
      </c>
      <c r="I160" s="229">
        <f t="shared" si="71"/>
        <v>0.1164284234514191</v>
      </c>
      <c r="J160" s="229">
        <f t="shared" si="71"/>
        <v>0.14388503740133077</v>
      </c>
      <c r="K160" s="229">
        <f>Assumptions!K71</f>
        <v>0.15</v>
      </c>
      <c r="L160" s="229">
        <f>Assumptions!L71</f>
        <v>0.15</v>
      </c>
      <c r="M160" s="229">
        <f>Assumptions!M71</f>
        <v>0.15</v>
      </c>
      <c r="N160" s="229">
        <f>Assumptions!N71</f>
        <v>0.15</v>
      </c>
      <c r="O160" s="229">
        <f>Assumptions!O71</f>
        <v>0.15</v>
      </c>
      <c r="P160" s="229">
        <f>Assumptions!P71</f>
        <v>0.15</v>
      </c>
    </row>
    <row r="161" spans="2:16" x14ac:dyDescent="0.3">
      <c r="C161" s="226"/>
      <c r="D161" s="226" t="s">
        <v>613</v>
      </c>
      <c r="E161" s="231" t="s">
        <v>505</v>
      </c>
      <c r="F161" s="232">
        <f>-'Raw Data'!E32</f>
        <v>888</v>
      </c>
      <c r="G161" s="232">
        <f>-'Raw Data'!F32</f>
        <v>177</v>
      </c>
      <c r="H161" s="232">
        <f>-'Raw Data'!G32</f>
        <v>451</v>
      </c>
      <c r="I161" s="232">
        <f>-'Raw Data'!H32</f>
        <v>1124</v>
      </c>
      <c r="J161" s="232">
        <f>-'Raw Data'!M32+(J156-'Raw Data'!M31)*Assumptions!J15</f>
        <v>13926.345000000001</v>
      </c>
      <c r="K161" s="232">
        <f>K156*K160</f>
        <v>17116.390155536963</v>
      </c>
      <c r="L161" s="232">
        <f t="shared" ref="L161:P161" si="72">L156*L160</f>
        <v>9150.4293534101053</v>
      </c>
      <c r="M161" s="232">
        <f t="shared" si="72"/>
        <v>5636.9832375358665</v>
      </c>
      <c r="N161" s="232">
        <f t="shared" si="72"/>
        <v>5799.6811143372724</v>
      </c>
      <c r="O161" s="232">
        <f t="shared" si="72"/>
        <v>5232.6519613058199</v>
      </c>
      <c r="P161" s="232">
        <f t="shared" si="72"/>
        <v>4642.147400597386</v>
      </c>
    </row>
    <row r="162" spans="2:16" x14ac:dyDescent="0.3">
      <c r="C162" s="227"/>
      <c r="D162" s="227" t="s">
        <v>610</v>
      </c>
      <c r="E162" s="228" t="s">
        <v>529</v>
      </c>
      <c r="F162" s="229"/>
      <c r="G162" s="229"/>
      <c r="H162" s="229"/>
      <c r="I162" s="229"/>
      <c r="J162" s="229"/>
      <c r="K162" s="229">
        <f>Assumptions!K73</f>
        <v>0</v>
      </c>
      <c r="L162" s="229">
        <f>Assumptions!L73</f>
        <v>0</v>
      </c>
      <c r="M162" s="229">
        <f>Assumptions!M73</f>
        <v>0</v>
      </c>
      <c r="N162" s="229">
        <f>Assumptions!N73</f>
        <v>0</v>
      </c>
      <c r="O162" s="229">
        <f>Assumptions!O73</f>
        <v>0</v>
      </c>
      <c r="P162" s="229">
        <f>Assumptions!P73</f>
        <v>0</v>
      </c>
    </row>
    <row r="163" spans="2:16" x14ac:dyDescent="0.3">
      <c r="C163" s="227"/>
      <c r="D163" s="227" t="s">
        <v>614</v>
      </c>
      <c r="E163" s="228" t="s">
        <v>505</v>
      </c>
      <c r="F163" s="237"/>
      <c r="G163" s="237"/>
      <c r="H163" s="237"/>
      <c r="I163" s="237"/>
      <c r="J163" s="237"/>
      <c r="K163" s="237">
        <f>K161*K162</f>
        <v>0</v>
      </c>
      <c r="L163" s="237">
        <f t="shared" ref="L163:P163" si="73">L161*L162</f>
        <v>0</v>
      </c>
      <c r="M163" s="237">
        <f t="shared" si="73"/>
        <v>0</v>
      </c>
      <c r="N163" s="237">
        <f t="shared" si="73"/>
        <v>0</v>
      </c>
      <c r="O163" s="237">
        <f t="shared" si="73"/>
        <v>0</v>
      </c>
      <c r="P163" s="237">
        <f t="shared" si="73"/>
        <v>0</v>
      </c>
    </row>
    <row r="164" spans="2:16" x14ac:dyDescent="0.3">
      <c r="C164" s="227"/>
      <c r="D164" s="227" t="s">
        <v>615</v>
      </c>
      <c r="E164" s="228" t="s">
        <v>505</v>
      </c>
      <c r="F164" s="237">
        <f>-'Raw Data'!E139</f>
        <v>493</v>
      </c>
      <c r="G164" s="237">
        <f>-'Raw Data'!F139</f>
        <v>532</v>
      </c>
      <c r="H164" s="237">
        <f>-'Raw Data'!G139</f>
        <v>338</v>
      </c>
      <c r="I164" s="237">
        <f>-'Raw Data'!H139</f>
        <v>583</v>
      </c>
      <c r="J164" s="237">
        <f>J161-J163</f>
        <v>13926.345000000001</v>
      </c>
      <c r="K164" s="237">
        <f>K161-K163</f>
        <v>17116.390155536963</v>
      </c>
      <c r="L164" s="237">
        <f t="shared" ref="L164:P164" si="74">L161-L163</f>
        <v>9150.4293534101053</v>
      </c>
      <c r="M164" s="237">
        <f t="shared" si="74"/>
        <v>5636.9832375358665</v>
      </c>
      <c r="N164" s="237">
        <f t="shared" si="74"/>
        <v>5799.6811143372724</v>
      </c>
      <c r="O164" s="237">
        <f t="shared" si="74"/>
        <v>5232.6519613058199</v>
      </c>
      <c r="P164" s="237">
        <f t="shared" si="74"/>
        <v>4642.147400597386</v>
      </c>
    </row>
    <row r="165" spans="2:16" ht="6" customHeight="1" x14ac:dyDescent="0.3"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</row>
    <row r="166" spans="2:16" x14ac:dyDescent="0.3">
      <c r="C166" s="226" t="s">
        <v>616</v>
      </c>
    </row>
    <row r="167" spans="2:16" x14ac:dyDescent="0.3">
      <c r="C167" s="227"/>
      <c r="D167" s="227" t="s">
        <v>617</v>
      </c>
      <c r="E167" s="228" t="s">
        <v>505</v>
      </c>
      <c r="F167" s="237">
        <f>'Raw Data'!D63</f>
        <v>782</v>
      </c>
      <c r="G167" s="237">
        <f>F169</f>
        <v>702</v>
      </c>
      <c r="H167" s="237">
        <f t="shared" ref="H167:I167" si="75">G169</f>
        <v>756</v>
      </c>
      <c r="I167" s="237">
        <f t="shared" si="75"/>
        <v>520</v>
      </c>
      <c r="J167" s="237">
        <f>I169</f>
        <v>616</v>
      </c>
      <c r="K167" s="237">
        <f>J169</f>
        <v>700</v>
      </c>
      <c r="L167" s="237">
        <f t="shared" ref="L167:P167" si="76">K169</f>
        <v>700</v>
      </c>
      <c r="M167" s="237">
        <f t="shared" si="76"/>
        <v>700</v>
      </c>
      <c r="N167" s="237">
        <f t="shared" si="76"/>
        <v>700</v>
      </c>
      <c r="O167" s="237">
        <f t="shared" si="76"/>
        <v>700</v>
      </c>
      <c r="P167" s="237">
        <f t="shared" si="76"/>
        <v>700</v>
      </c>
    </row>
    <row r="168" spans="2:16" x14ac:dyDescent="0.3">
      <c r="C168" s="227"/>
      <c r="D168" s="227" t="s">
        <v>618</v>
      </c>
      <c r="E168" s="228" t="s">
        <v>505</v>
      </c>
      <c r="F168" s="237"/>
      <c r="G168" s="237"/>
      <c r="H168" s="237"/>
      <c r="I168" s="237"/>
      <c r="J168" s="237"/>
      <c r="K168" s="237">
        <f>K163</f>
        <v>0</v>
      </c>
      <c r="L168" s="237">
        <f t="shared" ref="L168:P168" si="77">L163</f>
        <v>0</v>
      </c>
      <c r="M168" s="237">
        <f t="shared" si="77"/>
        <v>0</v>
      </c>
      <c r="N168" s="237">
        <f t="shared" si="77"/>
        <v>0</v>
      </c>
      <c r="O168" s="237">
        <f t="shared" si="77"/>
        <v>0</v>
      </c>
      <c r="P168" s="237">
        <f t="shared" si="77"/>
        <v>0</v>
      </c>
    </row>
    <row r="169" spans="2:16" x14ac:dyDescent="0.3">
      <c r="C169" s="226"/>
      <c r="D169" s="226" t="s">
        <v>619</v>
      </c>
      <c r="E169" s="231" t="s">
        <v>505</v>
      </c>
      <c r="F169" s="232">
        <f>'Raw Data'!E63</f>
        <v>702</v>
      </c>
      <c r="G169" s="232">
        <f>'Raw Data'!F63</f>
        <v>756</v>
      </c>
      <c r="H169" s="232">
        <f>'Raw Data'!G63</f>
        <v>520</v>
      </c>
      <c r="I169" s="232">
        <f>'Raw Data'!H63</f>
        <v>616</v>
      </c>
      <c r="J169" s="232">
        <f>'Raw Data'!M63</f>
        <v>700</v>
      </c>
      <c r="K169" s="232">
        <f>K167-K168</f>
        <v>700</v>
      </c>
      <c r="L169" s="232">
        <f t="shared" ref="L169:P169" si="78">L167-L168</f>
        <v>700</v>
      </c>
      <c r="M169" s="232">
        <f t="shared" si="78"/>
        <v>700</v>
      </c>
      <c r="N169" s="232">
        <f t="shared" si="78"/>
        <v>700</v>
      </c>
      <c r="O169" s="232">
        <f t="shared" si="78"/>
        <v>700</v>
      </c>
      <c r="P169" s="232">
        <f t="shared" si="78"/>
        <v>700</v>
      </c>
    </row>
    <row r="170" spans="2:16" ht="12.75" customHeight="1" x14ac:dyDescent="0.3"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</row>
    <row r="172" spans="2:16" ht="12.75" customHeight="1" x14ac:dyDescent="0.3">
      <c r="P172" s="219"/>
    </row>
    <row r="173" spans="2:16" ht="22.8" customHeight="1" x14ac:dyDescent="0.45"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</row>
    <row r="174" spans="2:16" ht="17.399999999999999" customHeight="1" x14ac:dyDescent="0.35">
      <c r="B174" s="221" t="s">
        <v>500</v>
      </c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</row>
    <row r="175" spans="2:16" ht="3" customHeight="1" x14ac:dyDescent="0.35"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</row>
    <row r="176" spans="2:16" ht="12.75" customHeight="1" x14ac:dyDescent="0.3"/>
    <row r="177" spans="2:16" x14ac:dyDescent="0.3">
      <c r="F177" s="223" t="s">
        <v>495</v>
      </c>
      <c r="G177" s="224"/>
      <c r="H177" s="224"/>
      <c r="I177" s="224"/>
      <c r="J177" s="223" t="s">
        <v>126</v>
      </c>
      <c r="K177" s="224"/>
      <c r="L177" s="224"/>
      <c r="M177" s="224"/>
      <c r="N177" s="224"/>
      <c r="O177" s="224"/>
      <c r="P177" s="224"/>
    </row>
    <row r="178" spans="2:16" x14ac:dyDescent="0.3">
      <c r="E178" s="225" t="s">
        <v>107</v>
      </c>
      <c r="F178" s="240" t="str">
        <f>F149</f>
        <v>FY2022</v>
      </c>
      <c r="G178" s="240" t="str">
        <f t="shared" ref="G178:P178" si="79">G149</f>
        <v>FY2023</v>
      </c>
      <c r="H178" s="240" t="str">
        <f t="shared" si="79"/>
        <v>FY2024</v>
      </c>
      <c r="I178" s="240" t="str">
        <f t="shared" si="79"/>
        <v>FY2025</v>
      </c>
      <c r="J178" s="240" t="str">
        <f t="shared" si="79"/>
        <v>FY2026E</v>
      </c>
      <c r="K178" s="240" t="str">
        <f t="shared" si="79"/>
        <v>FY2027E</v>
      </c>
      <c r="L178" s="240" t="str">
        <f t="shared" si="79"/>
        <v>FY2028E</v>
      </c>
      <c r="M178" s="240" t="str">
        <f t="shared" si="79"/>
        <v>FY2029E</v>
      </c>
      <c r="N178" s="240" t="str">
        <f t="shared" si="79"/>
        <v>FY2030E</v>
      </c>
      <c r="O178" s="240" t="str">
        <f t="shared" si="79"/>
        <v>FY2031E</v>
      </c>
      <c r="P178" s="240" t="str">
        <f t="shared" si="79"/>
        <v>FY2032E</v>
      </c>
    </row>
    <row r="179" spans="2:16" ht="6" customHeight="1" x14ac:dyDescent="0.3"/>
    <row r="180" spans="2:16" x14ac:dyDescent="0.3">
      <c r="C180" s="226" t="s">
        <v>441</v>
      </c>
    </row>
    <row r="181" spans="2:16" x14ac:dyDescent="0.3">
      <c r="C181" s="227"/>
      <c r="D181" s="227" t="s">
        <v>627</v>
      </c>
      <c r="E181" s="228" t="s">
        <v>505</v>
      </c>
      <c r="F181" s="237">
        <f>'Raw Data'!D51+'Raw Data'!D52+'Raw Data'!D59</f>
        <v>10398</v>
      </c>
      <c r="G181" s="237">
        <f>F183</f>
        <v>10978</v>
      </c>
      <c r="H181" s="237">
        <f t="shared" ref="H181:I181" si="80">G183</f>
        <v>10438</v>
      </c>
      <c r="I181" s="237">
        <f t="shared" si="80"/>
        <v>9152</v>
      </c>
      <c r="J181" s="237">
        <f t="shared" ref="J181:P181" si="81">I183</f>
        <v>11936</v>
      </c>
      <c r="K181" s="237">
        <f t="shared" si="81"/>
        <v>51518.481283996109</v>
      </c>
      <c r="L181" s="237">
        <f t="shared" si="81"/>
        <v>126402.42553462263</v>
      </c>
      <c r="M181" s="237">
        <f t="shared" si="81"/>
        <v>170528.32379187111</v>
      </c>
      <c r="N181" s="237">
        <f t="shared" si="81"/>
        <v>197362.75289184757</v>
      </c>
      <c r="O181" s="237">
        <f t="shared" si="81"/>
        <v>224345.68518363702</v>
      </c>
      <c r="P181" s="237">
        <f t="shared" si="81"/>
        <v>251413.32185844905</v>
      </c>
    </row>
    <row r="182" spans="2:16" x14ac:dyDescent="0.3">
      <c r="C182" s="227"/>
      <c r="D182" s="227" t="s">
        <v>628</v>
      </c>
      <c r="E182" s="228" t="s">
        <v>505</v>
      </c>
      <c r="F182" s="237">
        <f>F183-F181</f>
        <v>580</v>
      </c>
      <c r="G182" s="237">
        <f>G183-G181</f>
        <v>-540</v>
      </c>
      <c r="H182" s="237">
        <f t="shared" ref="H182:I182" si="82">H183-H181</f>
        <v>-1286</v>
      </c>
      <c r="I182" s="237">
        <f t="shared" si="82"/>
        <v>2784</v>
      </c>
      <c r="J182" s="237">
        <f>J334+J335+J342-J181</f>
        <v>39582.481283996109</v>
      </c>
      <c r="K182" s="237">
        <f>K320</f>
        <v>74883.944250626519</v>
      </c>
      <c r="L182" s="237">
        <f t="shared" ref="L182:P182" si="83">L320</f>
        <v>44125.898257248489</v>
      </c>
      <c r="M182" s="237">
        <f t="shared" si="83"/>
        <v>26834.429099976474</v>
      </c>
      <c r="N182" s="237">
        <f t="shared" si="83"/>
        <v>26982.932291789439</v>
      </c>
      <c r="O182" s="237">
        <f t="shared" si="83"/>
        <v>27067.636674812038</v>
      </c>
      <c r="P182" s="237">
        <f t="shared" si="83"/>
        <v>25689.50925387373</v>
      </c>
    </row>
    <row r="183" spans="2:16" x14ac:dyDescent="0.3">
      <c r="C183" s="226"/>
      <c r="D183" s="226" t="s">
        <v>629</v>
      </c>
      <c r="E183" s="231" t="s">
        <v>505</v>
      </c>
      <c r="F183" s="232">
        <f>'Raw Data'!E51+'Raw Data'!E52+'Raw Data'!E59</f>
        <v>10978</v>
      </c>
      <c r="G183" s="232">
        <f>'Raw Data'!F51+'Raw Data'!F52+'Raw Data'!F59</f>
        <v>10438</v>
      </c>
      <c r="H183" s="232">
        <f>'Raw Data'!G51+'Raw Data'!G52+'Raw Data'!G59</f>
        <v>9152</v>
      </c>
      <c r="I183" s="232">
        <f>'Raw Data'!H51+'Raw Data'!H52+'Raw Data'!H59</f>
        <v>11936</v>
      </c>
      <c r="J183" s="232">
        <f>J181+J182</f>
        <v>51518.481283996109</v>
      </c>
      <c r="K183" s="232">
        <f>K181+K182</f>
        <v>126402.42553462263</v>
      </c>
      <c r="L183" s="232">
        <f t="shared" ref="L183:P183" si="84">L181+L182</f>
        <v>170528.32379187111</v>
      </c>
      <c r="M183" s="232">
        <f t="shared" si="84"/>
        <v>197362.75289184757</v>
      </c>
      <c r="N183" s="232">
        <f t="shared" si="84"/>
        <v>224345.68518363702</v>
      </c>
      <c r="O183" s="232">
        <f t="shared" si="84"/>
        <v>251413.32185844905</v>
      </c>
      <c r="P183" s="232">
        <f t="shared" si="84"/>
        <v>277102.8311123228</v>
      </c>
    </row>
    <row r="184" spans="2:16" x14ac:dyDescent="0.3">
      <c r="C184" s="227"/>
      <c r="D184" s="227" t="s">
        <v>491</v>
      </c>
      <c r="E184" s="228" t="s">
        <v>529</v>
      </c>
      <c r="F184" s="229">
        <f>F185/F181</f>
        <v>9.2325447201384876E-3</v>
      </c>
      <c r="G184" s="229">
        <f>G185/G181</f>
        <v>4.2630715977409361E-2</v>
      </c>
      <c r="H184" s="229">
        <f>H185/H181</f>
        <v>5.0680206936194676E-2</v>
      </c>
      <c r="I184" s="229">
        <f>I185/I181</f>
        <v>5.4195804195804193E-2</v>
      </c>
      <c r="J184" s="229">
        <f>J185/J183</f>
        <v>1.4053209294135501E-2</v>
      </c>
      <c r="K184" s="229">
        <f>Assumptions!K82</f>
        <v>3.5000000000000003E-2</v>
      </c>
      <c r="L184" s="229">
        <f>Assumptions!L82</f>
        <v>3.5000000000000003E-2</v>
      </c>
      <c r="M184" s="229">
        <f>Assumptions!M82</f>
        <v>3.5000000000000003E-2</v>
      </c>
      <c r="N184" s="229">
        <f>Assumptions!N82</f>
        <v>3.5000000000000003E-2</v>
      </c>
      <c r="O184" s="229">
        <f>Assumptions!O82</f>
        <v>3.5000000000000003E-2</v>
      </c>
      <c r="P184" s="229">
        <f>Assumptions!P82</f>
        <v>3.5000000000000003E-2</v>
      </c>
    </row>
    <row r="185" spans="2:16" x14ac:dyDescent="0.3">
      <c r="C185" s="227"/>
      <c r="D185" s="227" t="s">
        <v>152</v>
      </c>
      <c r="E185" s="228" t="s">
        <v>505</v>
      </c>
      <c r="F185" s="237">
        <f>'Raw Data'!E28</f>
        <v>96</v>
      </c>
      <c r="G185" s="237">
        <f>'Raw Data'!F28</f>
        <v>468</v>
      </c>
      <c r="H185" s="237">
        <f>'Raw Data'!G28</f>
        <v>529</v>
      </c>
      <c r="I185" s="237">
        <f>'Raw Data'!H28</f>
        <v>496</v>
      </c>
      <c r="J185" s="237">
        <f>J153</f>
        <v>724</v>
      </c>
      <c r="K185" s="237">
        <f>K181*K184</f>
        <v>1803.146844939864</v>
      </c>
      <c r="L185" s="237">
        <f t="shared" ref="L185:P185" si="85">L181*L184</f>
        <v>4424.0848937117926</v>
      </c>
      <c r="M185" s="237">
        <f t="shared" si="85"/>
        <v>5968.4913327154891</v>
      </c>
      <c r="N185" s="237">
        <f t="shared" si="85"/>
        <v>6907.6963512146658</v>
      </c>
      <c r="O185" s="237">
        <f t="shared" si="85"/>
        <v>7852.0989814272962</v>
      </c>
      <c r="P185" s="237">
        <f t="shared" si="85"/>
        <v>8799.4662650457176</v>
      </c>
    </row>
    <row r="186" spans="2:16" ht="6" customHeight="1" x14ac:dyDescent="0.3"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</row>
    <row r="187" spans="2:16" x14ac:dyDescent="0.3">
      <c r="C187" s="226" t="s">
        <v>630</v>
      </c>
    </row>
    <row r="188" spans="2:16" x14ac:dyDescent="0.3">
      <c r="C188" s="227"/>
      <c r="D188" s="227" t="s">
        <v>509</v>
      </c>
      <c r="E188" s="228" t="s">
        <v>505</v>
      </c>
      <c r="F188" s="237"/>
      <c r="G188" s="237"/>
      <c r="H188" s="237"/>
      <c r="I188" s="237"/>
      <c r="J188" s="237"/>
      <c r="K188" s="237">
        <f>K304</f>
        <v>110474.49667545548</v>
      </c>
      <c r="L188" s="237">
        <f t="shared" ref="L188:P188" si="86">L304</f>
        <v>76088.993929434524</v>
      </c>
      <c r="M188" s="237">
        <f t="shared" si="86"/>
        <v>53825.382327709056</v>
      </c>
      <c r="N188" s="237">
        <f t="shared" si="86"/>
        <v>53217.229701875163</v>
      </c>
      <c r="O188" s="237">
        <f t="shared" si="86"/>
        <v>53260.910071131992</v>
      </c>
      <c r="P188" s="237">
        <f t="shared" si="86"/>
        <v>52358.26804151469</v>
      </c>
    </row>
    <row r="189" spans="2:16" x14ac:dyDescent="0.3">
      <c r="C189" s="227"/>
      <c r="D189" s="227" t="s">
        <v>513</v>
      </c>
      <c r="E189" s="228" t="s">
        <v>505</v>
      </c>
      <c r="F189" s="237"/>
      <c r="G189" s="237"/>
      <c r="H189" s="237"/>
      <c r="I189" s="237"/>
      <c r="J189" s="237"/>
      <c r="K189" s="237">
        <f>K310</f>
        <v>-33503.552424828951</v>
      </c>
      <c r="L189" s="237">
        <f t="shared" ref="L189:P189" si="87">L310</f>
        <v>-29667.395672186038</v>
      </c>
      <c r="M189" s="237">
        <f t="shared" si="87"/>
        <v>-24465.683227732581</v>
      </c>
      <c r="N189" s="237">
        <f t="shared" si="87"/>
        <v>-23456.500410085726</v>
      </c>
      <c r="O189" s="237">
        <f t="shared" si="87"/>
        <v>-22876.696696319952</v>
      </c>
      <c r="P189" s="237">
        <f t="shared" si="87"/>
        <v>-22311.62441764096</v>
      </c>
    </row>
    <row r="190" spans="2:16" x14ac:dyDescent="0.3">
      <c r="C190" s="227"/>
      <c r="D190" s="227" t="s">
        <v>631</v>
      </c>
      <c r="E190" s="228" t="s">
        <v>505</v>
      </c>
      <c r="F190" s="237"/>
      <c r="G190" s="237"/>
      <c r="H190" s="237"/>
      <c r="I190" s="237"/>
      <c r="J190" s="237"/>
      <c r="K190" s="237">
        <f>K202+K209</f>
        <v>0</v>
      </c>
      <c r="L190" s="237">
        <f t="shared" ref="L190:P190" si="88">L202+L209</f>
        <v>0</v>
      </c>
      <c r="M190" s="237">
        <f t="shared" si="88"/>
        <v>0</v>
      </c>
      <c r="N190" s="237">
        <f t="shared" si="88"/>
        <v>0</v>
      </c>
      <c r="O190" s="237">
        <f t="shared" si="88"/>
        <v>-261</v>
      </c>
      <c r="P190" s="237">
        <f t="shared" si="88"/>
        <v>-996</v>
      </c>
    </row>
    <row r="191" spans="2:16" x14ac:dyDescent="0.3">
      <c r="C191" s="227"/>
      <c r="D191" s="227" t="s">
        <v>516</v>
      </c>
      <c r="E191" s="228" t="s">
        <v>505</v>
      </c>
      <c r="F191" s="237"/>
      <c r="G191" s="237"/>
      <c r="H191" s="237"/>
      <c r="I191" s="237"/>
      <c r="J191" s="237"/>
      <c r="K191" s="237">
        <f>-K234</f>
        <v>-1397</v>
      </c>
      <c r="L191" s="237">
        <f t="shared" ref="L191:P191" si="89">-L234</f>
        <v>-1536.7</v>
      </c>
      <c r="M191" s="237">
        <f t="shared" si="89"/>
        <v>-1690.3700000000001</v>
      </c>
      <c r="N191" s="237">
        <f t="shared" si="89"/>
        <v>-1859.4070000000004</v>
      </c>
      <c r="O191" s="237">
        <f t="shared" si="89"/>
        <v>-2045.3477000000005</v>
      </c>
      <c r="P191" s="237">
        <f t="shared" si="89"/>
        <v>-2249.8824700000009</v>
      </c>
    </row>
    <row r="192" spans="2:16" x14ac:dyDescent="0.3">
      <c r="C192" s="227"/>
      <c r="D192" s="227" t="s">
        <v>435</v>
      </c>
      <c r="E192" s="228" t="s">
        <v>505</v>
      </c>
      <c r="F192" s="237"/>
      <c r="G192" s="237"/>
      <c r="H192" s="237"/>
      <c r="I192" s="237"/>
      <c r="J192" s="237"/>
      <c r="K192" s="237">
        <f>-K237</f>
        <v>-690</v>
      </c>
      <c r="L192" s="237">
        <f t="shared" ref="L192:P192" si="90">-L237</f>
        <v>-759</v>
      </c>
      <c r="M192" s="237">
        <f t="shared" si="90"/>
        <v>-834.90000000000009</v>
      </c>
      <c r="N192" s="237">
        <f t="shared" si="90"/>
        <v>-918.39000000000021</v>
      </c>
      <c r="O192" s="237">
        <f t="shared" si="90"/>
        <v>-1010.2290000000003</v>
      </c>
      <c r="P192" s="237">
        <f t="shared" si="90"/>
        <v>-1111.2519000000004</v>
      </c>
    </row>
    <row r="193" spans="2:16" x14ac:dyDescent="0.3">
      <c r="C193" s="226"/>
      <c r="D193" s="226" t="s">
        <v>632</v>
      </c>
      <c r="E193" s="231" t="s">
        <v>505</v>
      </c>
      <c r="F193" s="232"/>
      <c r="G193" s="232"/>
      <c r="H193" s="232"/>
      <c r="I193" s="232"/>
      <c r="J193" s="232"/>
      <c r="K193" s="232">
        <f>SUM(K188:K192)</f>
        <v>74883.944250626519</v>
      </c>
      <c r="L193" s="232">
        <f t="shared" ref="L193:P193" si="91">SUM(L188:L192)</f>
        <v>44125.898257248489</v>
      </c>
      <c r="M193" s="232">
        <f t="shared" si="91"/>
        <v>26834.429099976474</v>
      </c>
      <c r="N193" s="232">
        <f t="shared" si="91"/>
        <v>26982.932291789439</v>
      </c>
      <c r="O193" s="232">
        <f t="shared" si="91"/>
        <v>27067.636674812038</v>
      </c>
      <c r="P193" s="232">
        <f t="shared" si="91"/>
        <v>25689.50925387373</v>
      </c>
    </row>
    <row r="194" spans="2:16" x14ac:dyDescent="0.3">
      <c r="C194" s="227"/>
      <c r="D194" s="227" t="s">
        <v>633</v>
      </c>
      <c r="E194" s="228" t="s">
        <v>505</v>
      </c>
      <c r="F194" s="237"/>
      <c r="G194" s="237"/>
      <c r="H194" s="237"/>
      <c r="I194" s="237"/>
      <c r="J194" s="237"/>
      <c r="K194" s="237">
        <f>J196</f>
        <v>0</v>
      </c>
      <c r="L194" s="237">
        <f t="shared" ref="L194:P194" si="92">K196</f>
        <v>0</v>
      </c>
      <c r="M194" s="237">
        <f t="shared" si="92"/>
        <v>0</v>
      </c>
      <c r="N194" s="237">
        <f t="shared" si="92"/>
        <v>0</v>
      </c>
      <c r="O194" s="237">
        <f t="shared" si="92"/>
        <v>0</v>
      </c>
      <c r="P194" s="237">
        <f t="shared" si="92"/>
        <v>0</v>
      </c>
    </row>
    <row r="195" spans="2:16" x14ac:dyDescent="0.3">
      <c r="C195" s="227"/>
      <c r="D195" s="227" t="s">
        <v>634</v>
      </c>
      <c r="E195" s="228" t="s">
        <v>505</v>
      </c>
      <c r="F195" s="237"/>
      <c r="G195" s="237"/>
      <c r="H195" s="237"/>
      <c r="I195" s="237"/>
      <c r="J195" s="237"/>
      <c r="K195" s="237">
        <f>-MIN(K194,K181+K193)</f>
        <v>0</v>
      </c>
      <c r="L195" s="237">
        <f t="shared" ref="L195:P195" si="93">-MIN(L194,L181+L193)</f>
        <v>0</v>
      </c>
      <c r="M195" s="237">
        <f t="shared" si="93"/>
        <v>0</v>
      </c>
      <c r="N195" s="237">
        <f t="shared" si="93"/>
        <v>0</v>
      </c>
      <c r="O195" s="237">
        <f t="shared" si="93"/>
        <v>0</v>
      </c>
      <c r="P195" s="237">
        <f t="shared" si="93"/>
        <v>0</v>
      </c>
    </row>
    <row r="196" spans="2:16" x14ac:dyDescent="0.3">
      <c r="C196" s="226"/>
      <c r="D196" s="226" t="s">
        <v>635</v>
      </c>
      <c r="E196" s="231" t="s">
        <v>505</v>
      </c>
      <c r="F196" s="232"/>
      <c r="G196" s="232"/>
      <c r="H196" s="232"/>
      <c r="I196" s="232"/>
      <c r="J196" s="267">
        <v>0</v>
      </c>
      <c r="K196" s="232">
        <f>K194+K195</f>
        <v>0</v>
      </c>
      <c r="L196" s="232">
        <f t="shared" ref="L196:P196" si="94">L194+L195</f>
        <v>0</v>
      </c>
      <c r="M196" s="232">
        <f t="shared" si="94"/>
        <v>0</v>
      </c>
      <c r="N196" s="232">
        <f t="shared" si="94"/>
        <v>0</v>
      </c>
      <c r="O196" s="232">
        <f t="shared" si="94"/>
        <v>0</v>
      </c>
      <c r="P196" s="232">
        <f t="shared" si="94"/>
        <v>0</v>
      </c>
    </row>
    <row r="197" spans="2:16" x14ac:dyDescent="0.3">
      <c r="C197" s="227"/>
      <c r="D197" s="227" t="s">
        <v>636</v>
      </c>
      <c r="E197" s="228" t="s">
        <v>529</v>
      </c>
      <c r="F197" s="229"/>
      <c r="G197" s="229"/>
      <c r="H197" s="229"/>
      <c r="I197" s="229"/>
      <c r="J197" s="229"/>
      <c r="K197" s="229">
        <f>Assumptions!K85</f>
        <v>4.6200000000000005E-2</v>
      </c>
      <c r="L197" s="229">
        <f>Assumptions!L85</f>
        <v>4.6200000000000005E-2</v>
      </c>
      <c r="M197" s="229">
        <f>Assumptions!M85</f>
        <v>4.6200000000000005E-2</v>
      </c>
      <c r="N197" s="229">
        <f>Assumptions!N85</f>
        <v>4.6200000000000005E-2</v>
      </c>
      <c r="O197" s="229">
        <f>Assumptions!O85</f>
        <v>4.6200000000000005E-2</v>
      </c>
      <c r="P197" s="229">
        <f>Assumptions!P85</f>
        <v>4.6200000000000005E-2</v>
      </c>
    </row>
    <row r="198" spans="2:16" x14ac:dyDescent="0.3">
      <c r="C198" s="227"/>
      <c r="D198" s="227" t="s">
        <v>637</v>
      </c>
      <c r="E198" s="228" t="s">
        <v>505</v>
      </c>
      <c r="F198" s="237"/>
      <c r="G198" s="237"/>
      <c r="H198" s="237"/>
      <c r="I198" s="237"/>
      <c r="J198" s="237"/>
      <c r="K198" s="237">
        <f>K197*K194</f>
        <v>0</v>
      </c>
      <c r="L198" s="237">
        <f t="shared" ref="L198:P198" si="95">L197*L194</f>
        <v>0</v>
      </c>
      <c r="M198" s="237">
        <f t="shared" si="95"/>
        <v>0</v>
      </c>
      <c r="N198" s="237">
        <f t="shared" si="95"/>
        <v>0</v>
      </c>
      <c r="O198" s="237">
        <f t="shared" si="95"/>
        <v>0</v>
      </c>
      <c r="P198" s="237">
        <f t="shared" si="95"/>
        <v>0</v>
      </c>
    </row>
    <row r="199" spans="2:16" ht="6" customHeight="1" x14ac:dyDescent="0.3"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</row>
    <row r="200" spans="2:16" x14ac:dyDescent="0.3">
      <c r="C200" s="226" t="s">
        <v>638</v>
      </c>
    </row>
    <row r="201" spans="2:16" x14ac:dyDescent="0.3">
      <c r="C201" s="227"/>
      <c r="D201" s="227" t="s">
        <v>639</v>
      </c>
      <c r="E201" s="228" t="s">
        <v>505</v>
      </c>
      <c r="F201" s="237"/>
      <c r="G201" s="237"/>
      <c r="H201" s="237"/>
      <c r="I201" s="237"/>
      <c r="J201" s="237">
        <f>'Raw Data'!H71+'Raw Data'!H75-Assumptions!J88</f>
        <v>11533</v>
      </c>
      <c r="K201" s="185">
        <f t="shared" ref="K201:P201" si="96">J203</f>
        <v>3052</v>
      </c>
      <c r="L201" s="185">
        <f t="shared" si="96"/>
        <v>3052</v>
      </c>
      <c r="M201" s="185">
        <f t="shared" si="96"/>
        <v>3052</v>
      </c>
      <c r="N201" s="185">
        <f t="shared" si="96"/>
        <v>3052</v>
      </c>
      <c r="O201" s="185">
        <f t="shared" si="96"/>
        <v>3052</v>
      </c>
      <c r="P201" s="185">
        <f t="shared" si="96"/>
        <v>2791</v>
      </c>
    </row>
    <row r="202" spans="2:16" x14ac:dyDescent="0.3">
      <c r="C202" s="227"/>
      <c r="D202" s="227" t="s">
        <v>640</v>
      </c>
      <c r="E202" s="228" t="s">
        <v>505</v>
      </c>
      <c r="F202" s="237"/>
      <c r="G202" s="237"/>
      <c r="H202" s="237"/>
      <c r="I202" s="237"/>
      <c r="J202" s="237">
        <f>J203-J201</f>
        <v>-8481</v>
      </c>
      <c r="K202" s="237">
        <f>Assumptions!K84</f>
        <v>0</v>
      </c>
      <c r="L202" s="237">
        <f>Assumptions!L84</f>
        <v>0</v>
      </c>
      <c r="M202" s="237">
        <f>Assumptions!M84</f>
        <v>0</v>
      </c>
      <c r="N202" s="237">
        <f>Assumptions!N84</f>
        <v>0</v>
      </c>
      <c r="O202" s="237">
        <f>Assumptions!O84</f>
        <v>-261</v>
      </c>
      <c r="P202" s="237">
        <f>Assumptions!P84</f>
        <v>-996</v>
      </c>
    </row>
    <row r="203" spans="2:16" x14ac:dyDescent="0.3">
      <c r="C203" s="226"/>
      <c r="D203" s="226" t="s">
        <v>641</v>
      </c>
      <c r="E203" s="231" t="s">
        <v>505</v>
      </c>
      <c r="F203" s="232"/>
      <c r="G203" s="232"/>
      <c r="H203" s="232"/>
      <c r="I203" s="232"/>
      <c r="J203" s="232">
        <f>'Raw Data'!M71+'Raw Data'!M75-Assumptions!J89</f>
        <v>3052</v>
      </c>
      <c r="K203" s="232">
        <f>K201+K202</f>
        <v>3052</v>
      </c>
      <c r="L203" s="232">
        <f t="shared" ref="L203:P203" si="97">L201+L202</f>
        <v>3052</v>
      </c>
      <c r="M203" s="232">
        <f t="shared" si="97"/>
        <v>3052</v>
      </c>
      <c r="N203" s="232">
        <f t="shared" si="97"/>
        <v>3052</v>
      </c>
      <c r="O203" s="232">
        <f t="shared" si="97"/>
        <v>2791</v>
      </c>
      <c r="P203" s="232">
        <f t="shared" si="97"/>
        <v>1795</v>
      </c>
    </row>
    <row r="204" spans="2:16" x14ac:dyDescent="0.3">
      <c r="C204" s="227"/>
      <c r="D204" s="227" t="s">
        <v>642</v>
      </c>
      <c r="E204" s="228" t="s">
        <v>529</v>
      </c>
      <c r="F204" s="229"/>
      <c r="G204" s="229"/>
      <c r="H204" s="229"/>
      <c r="I204" s="229"/>
      <c r="J204" s="229"/>
      <c r="K204" s="229">
        <f>Assumptions!K83</f>
        <v>0.04</v>
      </c>
      <c r="L204" s="229">
        <f>Assumptions!L83</f>
        <v>0.04</v>
      </c>
      <c r="M204" s="229">
        <f>Assumptions!M83</f>
        <v>0.04</v>
      </c>
      <c r="N204" s="229">
        <f>Assumptions!N83</f>
        <v>0.04</v>
      </c>
      <c r="O204" s="229">
        <f>Assumptions!O83</f>
        <v>0.04</v>
      </c>
      <c r="P204" s="229">
        <f>Assumptions!P83</f>
        <v>0.04</v>
      </c>
    </row>
    <row r="205" spans="2:16" x14ac:dyDescent="0.3">
      <c r="C205" s="227"/>
      <c r="D205" s="227" t="s">
        <v>643</v>
      </c>
      <c r="E205" s="228" t="s">
        <v>505</v>
      </c>
      <c r="F205" s="237"/>
      <c r="G205" s="237"/>
      <c r="H205" s="237"/>
      <c r="I205" s="237"/>
      <c r="J205" s="237"/>
      <c r="K205" s="237">
        <f t="shared" ref="K205:P205" si="98">K201*K204</f>
        <v>122.08</v>
      </c>
      <c r="L205" s="237">
        <f t="shared" si="98"/>
        <v>122.08</v>
      </c>
      <c r="M205" s="237">
        <f t="shared" si="98"/>
        <v>122.08</v>
      </c>
      <c r="N205" s="237">
        <f t="shared" si="98"/>
        <v>122.08</v>
      </c>
      <c r="O205" s="237">
        <f t="shared" si="98"/>
        <v>122.08</v>
      </c>
      <c r="P205" s="237">
        <f t="shared" si="98"/>
        <v>111.64</v>
      </c>
    </row>
    <row r="206" spans="2:16" ht="6" customHeight="1" x14ac:dyDescent="0.3"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</row>
    <row r="207" spans="2:16" x14ac:dyDescent="0.3">
      <c r="C207" s="226" t="s">
        <v>644</v>
      </c>
    </row>
    <row r="208" spans="2:16" x14ac:dyDescent="0.3">
      <c r="C208" s="227"/>
      <c r="D208" s="227" t="s">
        <v>645</v>
      </c>
      <c r="E208" s="228" t="s">
        <v>505</v>
      </c>
      <c r="F208" s="237"/>
      <c r="G208" s="237"/>
      <c r="H208" s="237"/>
      <c r="I208" s="237"/>
      <c r="J208" s="237">
        <f>Assumptions!J88</f>
        <v>3044</v>
      </c>
      <c r="K208" s="237">
        <f>J210</f>
        <v>2670</v>
      </c>
      <c r="L208" s="237">
        <f t="shared" ref="L208:P208" si="99">K210</f>
        <v>2670</v>
      </c>
      <c r="M208" s="237">
        <f t="shared" si="99"/>
        <v>2670</v>
      </c>
      <c r="N208" s="237">
        <f t="shared" si="99"/>
        <v>2670</v>
      </c>
      <c r="O208" s="237">
        <f t="shared" si="99"/>
        <v>2670</v>
      </c>
      <c r="P208" s="237">
        <f t="shared" si="99"/>
        <v>2670</v>
      </c>
    </row>
    <row r="209" spans="2:16" x14ac:dyDescent="0.3">
      <c r="C209" s="227"/>
      <c r="D209" s="227" t="s">
        <v>646</v>
      </c>
      <c r="E209" s="228" t="s">
        <v>505</v>
      </c>
      <c r="F209" s="237"/>
      <c r="G209" s="237"/>
      <c r="H209" s="237"/>
      <c r="I209" s="237"/>
      <c r="J209" s="237">
        <f>J210-J208</f>
        <v>-374</v>
      </c>
      <c r="K209" s="237">
        <f>Assumptions!K87</f>
        <v>0</v>
      </c>
      <c r="L209" s="237">
        <f>Assumptions!L87</f>
        <v>0</v>
      </c>
      <c r="M209" s="237">
        <f>Assumptions!M87</f>
        <v>0</v>
      </c>
      <c r="N209" s="237">
        <f>Assumptions!N87</f>
        <v>0</v>
      </c>
      <c r="O209" s="237">
        <f>Assumptions!O87</f>
        <v>0</v>
      </c>
      <c r="P209" s="237">
        <f>Assumptions!P87</f>
        <v>0</v>
      </c>
    </row>
    <row r="210" spans="2:16" x14ac:dyDescent="0.3">
      <c r="C210" s="226"/>
      <c r="D210" s="226" t="s">
        <v>647</v>
      </c>
      <c r="E210" s="231" t="s">
        <v>505</v>
      </c>
      <c r="F210" s="232"/>
      <c r="G210" s="232"/>
      <c r="H210" s="232"/>
      <c r="I210" s="232"/>
      <c r="J210" s="232">
        <f>Assumptions!J89</f>
        <v>2670</v>
      </c>
      <c r="K210" s="232">
        <f>K208+K209</f>
        <v>2670</v>
      </c>
      <c r="L210" s="232">
        <f t="shared" ref="L210:P210" si="100">L208+L209</f>
        <v>2670</v>
      </c>
      <c r="M210" s="232">
        <f t="shared" si="100"/>
        <v>2670</v>
      </c>
      <c r="N210" s="232">
        <f t="shared" si="100"/>
        <v>2670</v>
      </c>
      <c r="O210" s="232">
        <f t="shared" si="100"/>
        <v>2670</v>
      </c>
      <c r="P210" s="232">
        <f t="shared" si="100"/>
        <v>2670</v>
      </c>
    </row>
    <row r="211" spans="2:16" x14ac:dyDescent="0.3">
      <c r="C211" s="227"/>
      <c r="D211" s="227" t="s">
        <v>623</v>
      </c>
      <c r="E211" s="228" t="s">
        <v>529</v>
      </c>
      <c r="F211" s="229"/>
      <c r="G211" s="229"/>
      <c r="H211" s="229"/>
      <c r="I211" s="229"/>
      <c r="J211" s="229"/>
      <c r="K211" s="229">
        <f>Assumptions!K86</f>
        <v>4.7199999999999999E-2</v>
      </c>
      <c r="L211" s="229">
        <f>Assumptions!L86</f>
        <v>4.7199999999999999E-2</v>
      </c>
      <c r="M211" s="229">
        <f>Assumptions!M86</f>
        <v>4.7199999999999999E-2</v>
      </c>
      <c r="N211" s="229">
        <f>Assumptions!N86</f>
        <v>4.7199999999999999E-2</v>
      </c>
      <c r="O211" s="229">
        <f>Assumptions!O86</f>
        <v>4.7199999999999999E-2</v>
      </c>
      <c r="P211" s="229">
        <f>Assumptions!P86</f>
        <v>4.7199999999999999E-2</v>
      </c>
    </row>
    <row r="212" spans="2:16" x14ac:dyDescent="0.3">
      <c r="C212" s="227"/>
      <c r="D212" s="227" t="s">
        <v>648</v>
      </c>
      <c r="E212" s="228" t="s">
        <v>505</v>
      </c>
      <c r="F212" s="237"/>
      <c r="G212" s="237"/>
      <c r="H212" s="237"/>
      <c r="I212" s="237"/>
      <c r="J212" s="237"/>
      <c r="K212" s="237">
        <f>K211*K210</f>
        <v>126.024</v>
      </c>
      <c r="L212" s="237">
        <f t="shared" ref="L212:P212" si="101">L211*L210</f>
        <v>126.024</v>
      </c>
      <c r="M212" s="237">
        <f t="shared" si="101"/>
        <v>126.024</v>
      </c>
      <c r="N212" s="237">
        <f t="shared" si="101"/>
        <v>126.024</v>
      </c>
      <c r="O212" s="237">
        <f t="shared" si="101"/>
        <v>126.024</v>
      </c>
      <c r="P212" s="237">
        <f t="shared" si="101"/>
        <v>126.024</v>
      </c>
    </row>
    <row r="213" spans="2:16" ht="6" customHeight="1" x14ac:dyDescent="0.3"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</row>
    <row r="214" spans="2:16" x14ac:dyDescent="0.3">
      <c r="C214" s="226"/>
      <c r="D214" s="226" t="s">
        <v>443</v>
      </c>
      <c r="E214" s="231" t="s">
        <v>505</v>
      </c>
      <c r="F214" s="232">
        <f>'Raw Data'!E71+'Raw Data'!E75</f>
        <v>6906</v>
      </c>
      <c r="G214" s="232">
        <f>'Raw Data'!F71+'Raw Data'!F75</f>
        <v>13330</v>
      </c>
      <c r="H214" s="232">
        <f>'Raw Data'!G71+'Raw Data'!G75</f>
        <v>13397</v>
      </c>
      <c r="I214" s="232">
        <f>'Raw Data'!H71+'Raw Data'!H75</f>
        <v>14577</v>
      </c>
      <c r="J214" s="232">
        <f t="shared" ref="J214:P214" si="102">J196+J203+J210</f>
        <v>5722</v>
      </c>
      <c r="K214" s="232">
        <f t="shared" si="102"/>
        <v>5722</v>
      </c>
      <c r="L214" s="232">
        <f t="shared" si="102"/>
        <v>5722</v>
      </c>
      <c r="M214" s="232">
        <f t="shared" si="102"/>
        <v>5722</v>
      </c>
      <c r="N214" s="232">
        <f t="shared" si="102"/>
        <v>5722</v>
      </c>
      <c r="O214" s="232">
        <f t="shared" si="102"/>
        <v>5461</v>
      </c>
      <c r="P214" s="232">
        <f t="shared" si="102"/>
        <v>4465</v>
      </c>
    </row>
    <row r="215" spans="2:16" x14ac:dyDescent="0.3">
      <c r="C215" s="227"/>
      <c r="D215" s="227" t="s">
        <v>649</v>
      </c>
      <c r="E215" s="228" t="s">
        <v>505</v>
      </c>
      <c r="F215" s="237">
        <f>-'Raw Data'!E29</f>
        <v>189</v>
      </c>
      <c r="G215" s="237">
        <f>-'Raw Data'!F29</f>
        <v>388</v>
      </c>
      <c r="H215" s="237">
        <f>-'Raw Data'!G29</f>
        <v>562</v>
      </c>
      <c r="I215" s="237">
        <f>-'Raw Data'!H29</f>
        <v>477</v>
      </c>
      <c r="J215" s="237">
        <f>-J154</f>
        <v>106</v>
      </c>
      <c r="K215" s="237">
        <f>K198+K205+K212</f>
        <v>248.10399999999998</v>
      </c>
      <c r="L215" s="237">
        <f t="shared" ref="L215:P215" si="103">L198+L205+L212</f>
        <v>248.10399999999998</v>
      </c>
      <c r="M215" s="237">
        <f t="shared" si="103"/>
        <v>248.10399999999998</v>
      </c>
      <c r="N215" s="237">
        <f t="shared" si="103"/>
        <v>248.10399999999998</v>
      </c>
      <c r="O215" s="237">
        <f t="shared" si="103"/>
        <v>248.10399999999998</v>
      </c>
      <c r="P215" s="237">
        <f t="shared" si="103"/>
        <v>237.66399999999999</v>
      </c>
    </row>
    <row r="216" spans="2:16" x14ac:dyDescent="0.3">
      <c r="C216" s="226"/>
      <c r="D216" s="226" t="s">
        <v>650</v>
      </c>
      <c r="E216" s="231" t="s">
        <v>505</v>
      </c>
      <c r="F216" s="232">
        <f t="shared" ref="F216:P216" si="104">F185-F215</f>
        <v>-93</v>
      </c>
      <c r="G216" s="232">
        <f t="shared" si="104"/>
        <v>80</v>
      </c>
      <c r="H216" s="232">
        <f t="shared" si="104"/>
        <v>-33</v>
      </c>
      <c r="I216" s="232">
        <f t="shared" si="104"/>
        <v>19</v>
      </c>
      <c r="J216" s="232">
        <f t="shared" si="104"/>
        <v>618</v>
      </c>
      <c r="K216" s="232">
        <f t="shared" si="104"/>
        <v>1555.0428449398639</v>
      </c>
      <c r="L216" s="232">
        <f t="shared" si="104"/>
        <v>4175.9808937117923</v>
      </c>
      <c r="M216" s="232">
        <f t="shared" si="104"/>
        <v>5720.3873327154888</v>
      </c>
      <c r="N216" s="232">
        <f t="shared" si="104"/>
        <v>6659.5923512146655</v>
      </c>
      <c r="O216" s="232">
        <f t="shared" si="104"/>
        <v>7603.9949814272959</v>
      </c>
      <c r="P216" s="232">
        <f t="shared" si="104"/>
        <v>8561.8022650457169</v>
      </c>
    </row>
    <row r="217" spans="2:16" ht="12.75" customHeight="1" x14ac:dyDescent="0.3"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</row>
    <row r="219" spans="2:16" ht="12.75" customHeight="1" x14ac:dyDescent="0.3">
      <c r="P219" s="219"/>
    </row>
    <row r="220" spans="2:16" ht="22.8" customHeight="1" x14ac:dyDescent="0.45"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</row>
    <row r="221" spans="2:16" ht="17.399999999999999" customHeight="1" x14ac:dyDescent="0.35">
      <c r="B221" s="221" t="s">
        <v>501</v>
      </c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</row>
    <row r="222" spans="2:16" ht="3" customHeight="1" x14ac:dyDescent="0.35"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</row>
    <row r="223" spans="2:16" ht="12.75" customHeight="1" x14ac:dyDescent="0.3"/>
    <row r="224" spans="2:16" x14ac:dyDescent="0.3">
      <c r="F224" s="223" t="s">
        <v>495</v>
      </c>
      <c r="G224" s="224"/>
      <c r="H224" s="224"/>
      <c r="I224" s="224"/>
      <c r="J224" s="223" t="s">
        <v>126</v>
      </c>
      <c r="K224" s="224"/>
      <c r="L224" s="224"/>
      <c r="M224" s="224"/>
      <c r="N224" s="224"/>
      <c r="O224" s="224"/>
      <c r="P224" s="224"/>
    </row>
    <row r="225" spans="2:16" x14ac:dyDescent="0.3">
      <c r="E225" s="225" t="s">
        <v>107</v>
      </c>
      <c r="F225" s="240" t="str">
        <f>F178</f>
        <v>FY2022</v>
      </c>
      <c r="G225" s="240" t="str">
        <f t="shared" ref="G225:P225" si="105">G178</f>
        <v>FY2023</v>
      </c>
      <c r="H225" s="240" t="str">
        <f t="shared" si="105"/>
        <v>FY2024</v>
      </c>
      <c r="I225" s="240" t="str">
        <f t="shared" si="105"/>
        <v>FY2025</v>
      </c>
      <c r="J225" s="240" t="str">
        <f t="shared" si="105"/>
        <v>FY2026E</v>
      </c>
      <c r="K225" s="240" t="str">
        <f t="shared" si="105"/>
        <v>FY2027E</v>
      </c>
      <c r="L225" s="240" t="str">
        <f t="shared" si="105"/>
        <v>FY2028E</v>
      </c>
      <c r="M225" s="240" t="str">
        <f t="shared" si="105"/>
        <v>FY2029E</v>
      </c>
      <c r="N225" s="240" t="str">
        <f t="shared" si="105"/>
        <v>FY2030E</v>
      </c>
      <c r="O225" s="240" t="str">
        <f t="shared" si="105"/>
        <v>FY2031E</v>
      </c>
      <c r="P225" s="240" t="str">
        <f t="shared" si="105"/>
        <v>FY2032E</v>
      </c>
    </row>
    <row r="226" spans="2:16" ht="6" customHeight="1" x14ac:dyDescent="0.3"/>
    <row r="227" spans="2:16" x14ac:dyDescent="0.3">
      <c r="C227" s="226" t="s">
        <v>178</v>
      </c>
    </row>
    <row r="228" spans="2:16" x14ac:dyDescent="0.3">
      <c r="C228" s="227"/>
      <c r="D228" s="227" t="s">
        <v>651</v>
      </c>
      <c r="E228" s="228" t="s">
        <v>529</v>
      </c>
      <c r="F228" s="229">
        <f>'Raw Data'!E101/'Raw Data'!D101  - 1</f>
        <v>0.35978835978835977</v>
      </c>
      <c r="G228" s="229">
        <f>'Raw Data'!F101/'Raw Data'!E101  - 1</f>
        <v>0.15953307392996119</v>
      </c>
      <c r="H228" s="229">
        <f>'Raw Data'!G101/'Raw Data'!F101  - 1</f>
        <v>0.3976510067114094</v>
      </c>
      <c r="I228" s="229">
        <f>'Raw Data'!H101/'Raw Data'!G101  - 1</f>
        <v>0.16686674669867951</v>
      </c>
      <c r="J228" s="229">
        <f>J229/I229 - 1</f>
        <v>0.3065843621399178</v>
      </c>
      <c r="K228" s="229">
        <f>Assumptions!K76</f>
        <v>0.1</v>
      </c>
      <c r="L228" s="229">
        <f>Assumptions!L76</f>
        <v>0.1</v>
      </c>
      <c r="M228" s="229">
        <f>Assumptions!M76</f>
        <v>0.1</v>
      </c>
      <c r="N228" s="229">
        <f>Assumptions!N76</f>
        <v>0.1</v>
      </c>
      <c r="O228" s="229">
        <f>Assumptions!O76</f>
        <v>0.1</v>
      </c>
      <c r="P228" s="229">
        <f>Assumptions!P76</f>
        <v>0.1</v>
      </c>
    </row>
    <row r="229" spans="2:16" x14ac:dyDescent="0.3">
      <c r="C229" s="227"/>
      <c r="D229" s="227" t="s">
        <v>178</v>
      </c>
      <c r="E229" s="228" t="s">
        <v>505</v>
      </c>
      <c r="F229" s="237">
        <f>'Raw Data'!E101</f>
        <v>514</v>
      </c>
      <c r="G229" s="237">
        <f>'Raw Data'!F101</f>
        <v>596</v>
      </c>
      <c r="H229" s="237">
        <f>'Raw Data'!G101</f>
        <v>833</v>
      </c>
      <c r="I229" s="237">
        <f>'Raw Data'!H101</f>
        <v>972</v>
      </c>
      <c r="J229" s="237">
        <f>Assumptions!J75</f>
        <v>1270</v>
      </c>
      <c r="K229" s="237">
        <f>J229*(1+K228)</f>
        <v>1397</v>
      </c>
      <c r="L229" s="237">
        <f t="shared" ref="L229:P229" si="106">K229*(1+L228)</f>
        <v>1536.7</v>
      </c>
      <c r="M229" s="237">
        <f t="shared" si="106"/>
        <v>1690.3700000000001</v>
      </c>
      <c r="N229" s="237">
        <f t="shared" si="106"/>
        <v>1859.4070000000004</v>
      </c>
      <c r="O229" s="237">
        <f t="shared" si="106"/>
        <v>2045.3477000000005</v>
      </c>
      <c r="P229" s="237">
        <f t="shared" si="106"/>
        <v>2249.8824700000009</v>
      </c>
    </row>
    <row r="230" spans="2:16" ht="6" customHeight="1" x14ac:dyDescent="0.3"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</row>
    <row r="231" spans="2:16" x14ac:dyDescent="0.3">
      <c r="C231" s="226" t="s">
        <v>652</v>
      </c>
    </row>
    <row r="232" spans="2:16" x14ac:dyDescent="0.3">
      <c r="C232" s="227"/>
      <c r="D232" s="227" t="s">
        <v>67</v>
      </c>
      <c r="E232" s="228" t="s">
        <v>548</v>
      </c>
      <c r="F232" s="237">
        <f>'Raw Data'!E42</f>
        <v>1122</v>
      </c>
      <c r="G232" s="237">
        <f>'Raw Data'!F42</f>
        <v>1093</v>
      </c>
      <c r="H232" s="237">
        <f>'Raw Data'!G42</f>
        <v>1118</v>
      </c>
      <c r="I232" s="237">
        <f>'Raw Data'!H42</f>
        <v>1125</v>
      </c>
      <c r="J232" s="237">
        <f>Assumptions!J16</f>
        <v>1150</v>
      </c>
      <c r="K232" s="237">
        <f>Assumptions!K77</f>
        <v>1150</v>
      </c>
      <c r="L232" s="237">
        <f>Assumptions!L77</f>
        <v>1150</v>
      </c>
      <c r="M232" s="237">
        <f>Assumptions!M77</f>
        <v>1150</v>
      </c>
      <c r="N232" s="237">
        <f>Assumptions!N77</f>
        <v>1150</v>
      </c>
      <c r="O232" s="237">
        <f>Assumptions!O77</f>
        <v>1150</v>
      </c>
      <c r="P232" s="237">
        <f>Assumptions!P77</f>
        <v>1150</v>
      </c>
    </row>
    <row r="233" spans="2:16" x14ac:dyDescent="0.3">
      <c r="C233" s="227"/>
      <c r="D233" s="227" t="s">
        <v>653</v>
      </c>
      <c r="E233" s="228" t="s">
        <v>529</v>
      </c>
      <c r="F233" s="229">
        <f>F234/F229</f>
        <v>4.7315175097276265</v>
      </c>
      <c r="G233" s="229">
        <f t="shared" ref="G233:I233" si="107">G234/G229</f>
        <v>0.71308724832214765</v>
      </c>
      <c r="H233" s="229">
        <f t="shared" si="107"/>
        <v>0.36014405762304924</v>
      </c>
      <c r="I233" s="229">
        <f t="shared" si="107"/>
        <v>0</v>
      </c>
      <c r="J233" s="229">
        <f>J234/J229</f>
        <v>1.3606299212598425</v>
      </c>
      <c r="K233" s="229">
        <f>Assumptions!K78</f>
        <v>1</v>
      </c>
      <c r="L233" s="229">
        <f>Assumptions!L78</f>
        <v>1</v>
      </c>
      <c r="M233" s="229">
        <f>Assumptions!M78</f>
        <v>1</v>
      </c>
      <c r="N233" s="229">
        <f>Assumptions!N78</f>
        <v>1</v>
      </c>
      <c r="O233" s="229">
        <f>Assumptions!O78</f>
        <v>1</v>
      </c>
      <c r="P233" s="229">
        <f>Assumptions!P78</f>
        <v>1</v>
      </c>
    </row>
    <row r="234" spans="2:16" x14ac:dyDescent="0.3">
      <c r="C234" s="227"/>
      <c r="D234" s="227" t="s">
        <v>516</v>
      </c>
      <c r="E234" s="228" t="s">
        <v>505</v>
      </c>
      <c r="F234" s="237">
        <f>-('Raw Data'!E125+'Raw Data'!E126)</f>
        <v>2432</v>
      </c>
      <c r="G234" s="237">
        <f>-('Raw Data'!F125+'Raw Data'!F126)</f>
        <v>425</v>
      </c>
      <c r="H234" s="237">
        <f>-('Raw Data'!G125+'Raw Data'!G126)</f>
        <v>300</v>
      </c>
      <c r="I234" s="237">
        <f>-('Raw Data'!H125+'Raw Data'!H126)</f>
        <v>0</v>
      </c>
      <c r="J234" s="237">
        <f>-('Raw Data'!M125+'Raw Data'!M126)+(J229-'Raw Data'!M101)*Assumptions!K78</f>
        <v>1728</v>
      </c>
      <c r="K234" s="237">
        <f>K233*K229</f>
        <v>1397</v>
      </c>
      <c r="L234" s="237">
        <f t="shared" ref="L234:P234" si="108">L233*L229</f>
        <v>1536.7</v>
      </c>
      <c r="M234" s="237">
        <f t="shared" si="108"/>
        <v>1690.3700000000001</v>
      </c>
      <c r="N234" s="237">
        <f t="shared" si="108"/>
        <v>1859.4070000000004</v>
      </c>
      <c r="O234" s="237">
        <f t="shared" si="108"/>
        <v>2045.3477000000005</v>
      </c>
      <c r="P234" s="237">
        <f t="shared" si="108"/>
        <v>2249.8824700000009</v>
      </c>
    </row>
    <row r="235" spans="2:16" x14ac:dyDescent="0.3">
      <c r="C235" s="227"/>
      <c r="D235" s="227" t="s">
        <v>489</v>
      </c>
      <c r="E235" s="228" t="s">
        <v>529</v>
      </c>
      <c r="F235" s="229"/>
      <c r="G235" s="229">
        <f>G236/F236-1</f>
        <v>0.46031746031746046</v>
      </c>
      <c r="H235" s="229">
        <f>H236/G236-1</f>
        <v>0</v>
      </c>
      <c r="I235" s="229">
        <f>I236/H236-1</f>
        <v>0</v>
      </c>
      <c r="J235" s="229">
        <f>J236/I236-1</f>
        <v>0.15217391304347827</v>
      </c>
      <c r="K235" s="229"/>
      <c r="L235" s="229">
        <f>Assumptions!L80</f>
        <v>0.1</v>
      </c>
      <c r="M235" s="229">
        <f>Assumptions!M80</f>
        <v>0.1</v>
      </c>
      <c r="N235" s="229">
        <f>Assumptions!N80</f>
        <v>0.1</v>
      </c>
      <c r="O235" s="229">
        <f>Assumptions!O80</f>
        <v>0.1</v>
      </c>
      <c r="P235" s="229">
        <f>Assumptions!P80</f>
        <v>0.1</v>
      </c>
    </row>
    <row r="236" spans="2:16" x14ac:dyDescent="0.3">
      <c r="C236" s="227"/>
      <c r="D236" s="227" t="s">
        <v>433</v>
      </c>
      <c r="E236" s="228" t="s">
        <v>550</v>
      </c>
      <c r="F236" s="241">
        <f>'Raw Data'!E44</f>
        <v>0.315</v>
      </c>
      <c r="G236" s="241">
        <f>'Raw Data'!F44</f>
        <v>0.46</v>
      </c>
      <c r="H236" s="241">
        <f>'Raw Data'!G44</f>
        <v>0.46</v>
      </c>
      <c r="I236" s="241">
        <f>'Raw Data'!H44</f>
        <v>0.46</v>
      </c>
      <c r="J236" s="241">
        <f>'Raw Data'!M44+'Raw Data'!L44</f>
        <v>0.53</v>
      </c>
      <c r="K236" s="241">
        <f>Assumptions!K79</f>
        <v>0.6</v>
      </c>
      <c r="L236" s="241">
        <f>K236*(1+L235)</f>
        <v>0.66</v>
      </c>
      <c r="M236" s="241">
        <f t="shared" ref="M236:P236" si="109">L236*(1+M235)</f>
        <v>0.72600000000000009</v>
      </c>
      <c r="N236" s="241">
        <f t="shared" si="109"/>
        <v>0.7986000000000002</v>
      </c>
      <c r="O236" s="241">
        <f t="shared" si="109"/>
        <v>0.87846000000000024</v>
      </c>
      <c r="P236" s="241">
        <f t="shared" si="109"/>
        <v>0.96630600000000033</v>
      </c>
    </row>
    <row r="237" spans="2:16" x14ac:dyDescent="0.3">
      <c r="C237" s="226"/>
      <c r="D237" s="226" t="s">
        <v>435</v>
      </c>
      <c r="E237" s="231" t="s">
        <v>505</v>
      </c>
      <c r="F237" s="232">
        <f>-'Raw Data'!E127</f>
        <v>461</v>
      </c>
      <c r="G237" s="232">
        <f>-'Raw Data'!F127</f>
        <v>504</v>
      </c>
      <c r="H237" s="232">
        <f>-'Raw Data'!G127</f>
        <v>513</v>
      </c>
      <c r="I237" s="232">
        <f>-'Raw Data'!H127</f>
        <v>522</v>
      </c>
      <c r="J237" s="232">
        <f>-'Raw Data'!M127+'Raw Data'!L44*J232</f>
        <v>609.5</v>
      </c>
      <c r="K237" s="232">
        <f t="shared" ref="K237:P237" si="110">K236*K232</f>
        <v>690</v>
      </c>
      <c r="L237" s="232">
        <f t="shared" si="110"/>
        <v>759</v>
      </c>
      <c r="M237" s="232">
        <f t="shared" si="110"/>
        <v>834.90000000000009</v>
      </c>
      <c r="N237" s="232">
        <f t="shared" si="110"/>
        <v>918.39000000000021</v>
      </c>
      <c r="O237" s="232">
        <f t="shared" si="110"/>
        <v>1010.2290000000003</v>
      </c>
      <c r="P237" s="232">
        <f t="shared" si="110"/>
        <v>1111.2519000000004</v>
      </c>
    </row>
    <row r="238" spans="2:16" ht="6" customHeight="1" x14ac:dyDescent="0.3"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</row>
    <row r="239" spans="2:16" x14ac:dyDescent="0.3">
      <c r="C239" s="226" t="s">
        <v>654</v>
      </c>
    </row>
    <row r="240" spans="2:16" x14ac:dyDescent="0.3">
      <c r="C240" s="227"/>
      <c r="D240" s="227" t="s">
        <v>655</v>
      </c>
      <c r="E240" s="228" t="s">
        <v>505</v>
      </c>
      <c r="F240" s="237">
        <f>'Raw Data'!D89</f>
        <v>43933</v>
      </c>
      <c r="G240" s="237">
        <f>F246</f>
        <v>49907</v>
      </c>
      <c r="H240" s="237">
        <f t="shared" ref="H240:I240" si="111">G246</f>
        <v>44120</v>
      </c>
      <c r="I240" s="237">
        <f t="shared" si="111"/>
        <v>45131</v>
      </c>
      <c r="J240" s="237">
        <f>I246</f>
        <v>54165</v>
      </c>
      <c r="K240" s="237">
        <f>J246</f>
        <v>136158.155</v>
      </c>
      <c r="L240" s="237">
        <f t="shared" ref="L240:P240" si="112">K246</f>
        <v>232461.0325480428</v>
      </c>
      <c r="M240" s="237">
        <f t="shared" si="112"/>
        <v>283554.46555070009</v>
      </c>
      <c r="N240" s="237">
        <f t="shared" si="112"/>
        <v>314662.47056340333</v>
      </c>
      <c r="O240" s="237">
        <f t="shared" si="112"/>
        <v>346608.94021131453</v>
      </c>
      <c r="P240" s="237">
        <f t="shared" si="112"/>
        <v>375250.40565871418</v>
      </c>
    </row>
    <row r="241" spans="2:16" x14ac:dyDescent="0.3">
      <c r="C241" s="227"/>
      <c r="D241" s="227" t="s">
        <v>656</v>
      </c>
      <c r="E241" s="228" t="s">
        <v>505</v>
      </c>
      <c r="F241" s="237">
        <f>'Raw Data'!E34</f>
        <v>8687</v>
      </c>
      <c r="G241" s="237">
        <f>'Raw Data'!F34</f>
        <v>-5833</v>
      </c>
      <c r="H241" s="237">
        <f>'Raw Data'!G34</f>
        <v>778</v>
      </c>
      <c r="I241" s="237">
        <f>'Raw Data'!H34</f>
        <v>8539</v>
      </c>
      <c r="J241" s="237">
        <f>J281</f>
        <v>82874.654999999999</v>
      </c>
      <c r="K241" s="237">
        <f t="shared" ref="K241:P241" si="113">K281</f>
        <v>96992.877548042801</v>
      </c>
      <c r="L241" s="237">
        <f t="shared" si="113"/>
        <v>51852.433002657272</v>
      </c>
      <c r="M241" s="237">
        <f t="shared" si="113"/>
        <v>31942.905012703246</v>
      </c>
      <c r="N241" s="237">
        <f t="shared" si="113"/>
        <v>32864.859647911202</v>
      </c>
      <c r="O241" s="237">
        <f t="shared" si="113"/>
        <v>29651.694447399648</v>
      </c>
      <c r="P241" s="237">
        <f t="shared" si="113"/>
        <v>26305.501936718523</v>
      </c>
    </row>
    <row r="242" spans="2:16" x14ac:dyDescent="0.3">
      <c r="C242" s="227"/>
      <c r="D242" s="227" t="s">
        <v>657</v>
      </c>
      <c r="E242" s="228" t="s">
        <v>505</v>
      </c>
      <c r="F242" s="237">
        <f>F229</f>
        <v>514</v>
      </c>
      <c r="G242" s="237">
        <f t="shared" ref="G242:I242" si="114">G229</f>
        <v>596</v>
      </c>
      <c r="H242" s="237">
        <f t="shared" si="114"/>
        <v>833</v>
      </c>
      <c r="I242" s="237">
        <f t="shared" si="114"/>
        <v>972</v>
      </c>
      <c r="J242" s="237">
        <f>J229</f>
        <v>1270</v>
      </c>
      <c r="K242" s="237">
        <f>K229</f>
        <v>1397</v>
      </c>
      <c r="L242" s="237">
        <f t="shared" ref="L242:P242" si="115">L229</f>
        <v>1536.7</v>
      </c>
      <c r="M242" s="237">
        <f t="shared" si="115"/>
        <v>1690.3700000000001</v>
      </c>
      <c r="N242" s="237">
        <f t="shared" si="115"/>
        <v>1859.4070000000004</v>
      </c>
      <c r="O242" s="237">
        <f t="shared" si="115"/>
        <v>2045.3477000000005</v>
      </c>
      <c r="P242" s="237">
        <f t="shared" si="115"/>
        <v>2249.8824700000009</v>
      </c>
    </row>
    <row r="243" spans="2:16" x14ac:dyDescent="0.3">
      <c r="C243" s="227"/>
      <c r="D243" s="227" t="s">
        <v>658</v>
      </c>
      <c r="E243" s="228" t="s">
        <v>505</v>
      </c>
      <c r="F243" s="237">
        <f>-F234</f>
        <v>-2432</v>
      </c>
      <c r="G243" s="237">
        <f t="shared" ref="G243:I243" si="116">-G234</f>
        <v>-425</v>
      </c>
      <c r="H243" s="237">
        <f t="shared" si="116"/>
        <v>-300</v>
      </c>
      <c r="I243" s="237">
        <f t="shared" si="116"/>
        <v>0</v>
      </c>
      <c r="J243" s="237">
        <f>-J234</f>
        <v>-1728</v>
      </c>
      <c r="K243" s="237">
        <f>-K234</f>
        <v>-1397</v>
      </c>
      <c r="L243" s="237">
        <f t="shared" ref="L243:P243" si="117">-L234</f>
        <v>-1536.7</v>
      </c>
      <c r="M243" s="237">
        <f t="shared" si="117"/>
        <v>-1690.3700000000001</v>
      </c>
      <c r="N243" s="237">
        <f t="shared" si="117"/>
        <v>-1859.4070000000004</v>
      </c>
      <c r="O243" s="237">
        <f t="shared" si="117"/>
        <v>-2045.3477000000005</v>
      </c>
      <c r="P243" s="237">
        <f t="shared" si="117"/>
        <v>-2249.8824700000009</v>
      </c>
    </row>
    <row r="244" spans="2:16" x14ac:dyDescent="0.3">
      <c r="C244" s="227"/>
      <c r="D244" s="227" t="s">
        <v>659</v>
      </c>
      <c r="E244" s="228" t="s">
        <v>505</v>
      </c>
      <c r="F244" s="237">
        <f t="shared" ref="F244:P244" si="118">-F237</f>
        <v>-461</v>
      </c>
      <c r="G244" s="237">
        <f t="shared" si="118"/>
        <v>-504</v>
      </c>
      <c r="H244" s="237">
        <f t="shared" si="118"/>
        <v>-513</v>
      </c>
      <c r="I244" s="237">
        <f t="shared" si="118"/>
        <v>-522</v>
      </c>
      <c r="J244" s="237">
        <f t="shared" si="118"/>
        <v>-609.5</v>
      </c>
      <c r="K244" s="237">
        <f t="shared" si="118"/>
        <v>-690</v>
      </c>
      <c r="L244" s="237">
        <f t="shared" si="118"/>
        <v>-759</v>
      </c>
      <c r="M244" s="237">
        <f t="shared" si="118"/>
        <v>-834.90000000000009</v>
      </c>
      <c r="N244" s="237">
        <f t="shared" si="118"/>
        <v>-918.39000000000021</v>
      </c>
      <c r="O244" s="237">
        <f t="shared" si="118"/>
        <v>-1010.2290000000003</v>
      </c>
      <c r="P244" s="237">
        <f t="shared" si="118"/>
        <v>-1111.2519000000004</v>
      </c>
    </row>
    <row r="245" spans="2:16" x14ac:dyDescent="0.3">
      <c r="C245" s="227"/>
      <c r="D245" s="227" t="s">
        <v>585</v>
      </c>
      <c r="E245" s="228" t="s">
        <v>505</v>
      </c>
      <c r="F245" s="237">
        <f>F246-SUM(F240:F244)</f>
        <v>-334</v>
      </c>
      <c r="G245" s="237">
        <f t="shared" ref="G245:I245" si="119">G246-SUM(G240:G244)</f>
        <v>379</v>
      </c>
      <c r="H245" s="237">
        <f t="shared" si="119"/>
        <v>213</v>
      </c>
      <c r="I245" s="237">
        <f t="shared" si="119"/>
        <v>45</v>
      </c>
      <c r="J245" s="237">
        <f>'Raw Data'!M89-('Raw Data'!H89+'Raw Data'!M34+'Raw Data'!M101+'Raw Data'!M125+'Raw Data'!M126+'Raw Data'!M127)</f>
        <v>186</v>
      </c>
      <c r="K245" s="262">
        <v>0</v>
      </c>
      <c r="L245" s="262">
        <v>0</v>
      </c>
      <c r="M245" s="262">
        <v>0</v>
      </c>
      <c r="N245" s="262">
        <v>0</v>
      </c>
      <c r="O245" s="262">
        <v>0</v>
      </c>
      <c r="P245" s="262">
        <v>0</v>
      </c>
    </row>
    <row r="246" spans="2:16" x14ac:dyDescent="0.3">
      <c r="C246" s="226"/>
      <c r="D246" s="226" t="s">
        <v>660</v>
      </c>
      <c r="E246" s="231" t="s">
        <v>505</v>
      </c>
      <c r="F246" s="232">
        <f>'Raw Data'!E89</f>
        <v>49907</v>
      </c>
      <c r="G246" s="232">
        <f>'Raw Data'!F89</f>
        <v>44120</v>
      </c>
      <c r="H246" s="232">
        <f>'Raw Data'!G89</f>
        <v>45131</v>
      </c>
      <c r="I246" s="232">
        <f>'Raw Data'!H89</f>
        <v>54165</v>
      </c>
      <c r="J246" s="232">
        <f>SUM(J240:J245)</f>
        <v>136158.155</v>
      </c>
      <c r="K246" s="232">
        <f>SUM(K240:K245)</f>
        <v>232461.0325480428</v>
      </c>
      <c r="L246" s="232">
        <f t="shared" ref="L246:P246" si="120">SUM(L240:L245)</f>
        <v>283554.46555070009</v>
      </c>
      <c r="M246" s="232">
        <f t="shared" si="120"/>
        <v>314662.47056340333</v>
      </c>
      <c r="N246" s="232">
        <f t="shared" si="120"/>
        <v>346608.94021131453</v>
      </c>
      <c r="O246" s="232">
        <f t="shared" si="120"/>
        <v>375250.40565871418</v>
      </c>
      <c r="P246" s="232">
        <f t="shared" si="120"/>
        <v>400444.65569543274</v>
      </c>
    </row>
    <row r="247" spans="2:16" ht="6" customHeight="1" x14ac:dyDescent="0.3"/>
    <row r="248" spans="2:16" ht="12.75" customHeight="1" x14ac:dyDescent="0.3"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</row>
    <row r="250" spans="2:16" ht="12.75" customHeight="1" x14ac:dyDescent="0.3">
      <c r="P250" s="219"/>
    </row>
    <row r="251" spans="2:16" ht="22.8" customHeight="1" x14ac:dyDescent="0.45"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</row>
    <row r="252" spans="2:16" ht="17.399999999999999" customHeight="1" x14ac:dyDescent="0.35">
      <c r="B252" s="221" t="s">
        <v>502</v>
      </c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</row>
    <row r="253" spans="2:16" ht="3" customHeight="1" x14ac:dyDescent="0.35"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</row>
    <row r="254" spans="2:16" ht="12.75" customHeight="1" x14ac:dyDescent="0.3"/>
    <row r="255" spans="2:16" x14ac:dyDescent="0.3">
      <c r="F255" s="223" t="s">
        <v>495</v>
      </c>
      <c r="G255" s="224"/>
      <c r="H255" s="224"/>
      <c r="I255" s="224"/>
      <c r="J255" s="223" t="s">
        <v>126</v>
      </c>
      <c r="K255" s="224"/>
      <c r="L255" s="224"/>
      <c r="M255" s="224"/>
      <c r="N255" s="224"/>
      <c r="O255" s="224"/>
      <c r="P255" s="224"/>
    </row>
    <row r="256" spans="2:16" x14ac:dyDescent="0.3">
      <c r="E256" s="225" t="s">
        <v>107</v>
      </c>
      <c r="F256" s="264" t="str">
        <f>F225</f>
        <v>FY2022</v>
      </c>
      <c r="G256" s="264" t="str">
        <f t="shared" ref="G256:P256" si="121">G225</f>
        <v>FY2023</v>
      </c>
      <c r="H256" s="264" t="str">
        <f t="shared" si="121"/>
        <v>FY2024</v>
      </c>
      <c r="I256" s="264" t="str">
        <f t="shared" si="121"/>
        <v>FY2025</v>
      </c>
      <c r="J256" s="264" t="str">
        <f t="shared" si="121"/>
        <v>FY2026E</v>
      </c>
      <c r="K256" s="264" t="str">
        <f t="shared" si="121"/>
        <v>FY2027E</v>
      </c>
      <c r="L256" s="264" t="str">
        <f t="shared" si="121"/>
        <v>FY2028E</v>
      </c>
      <c r="M256" s="264" t="str">
        <f t="shared" si="121"/>
        <v>FY2029E</v>
      </c>
      <c r="N256" s="264" t="str">
        <f t="shared" si="121"/>
        <v>FY2030E</v>
      </c>
      <c r="O256" s="264" t="str">
        <f t="shared" si="121"/>
        <v>FY2031E</v>
      </c>
      <c r="P256" s="264" t="str">
        <f t="shared" si="121"/>
        <v>FY2032E</v>
      </c>
    </row>
    <row r="257" spans="2:16" ht="6" customHeight="1" x14ac:dyDescent="0.3"/>
    <row r="258" spans="2:16" x14ac:dyDescent="0.3">
      <c r="B258" s="226" t="s">
        <v>535</v>
      </c>
    </row>
    <row r="259" spans="2:16" x14ac:dyDescent="0.3">
      <c r="C259" s="227" t="s">
        <v>89</v>
      </c>
      <c r="D259" s="227"/>
      <c r="E259" s="228" t="s">
        <v>505</v>
      </c>
      <c r="F259" s="238">
        <f>'Raw Data'!E18</f>
        <v>30758</v>
      </c>
      <c r="G259" s="238">
        <f>'Raw Data'!F18</f>
        <v>15540</v>
      </c>
      <c r="H259" s="238">
        <f>'Raw Data'!G18</f>
        <v>25111</v>
      </c>
      <c r="I259" s="238">
        <f>'Raw Data'!H18</f>
        <v>37378</v>
      </c>
      <c r="J259" s="237">
        <f>J30</f>
        <v>128959</v>
      </c>
      <c r="K259" s="237">
        <f t="shared" ref="K259:P259" si="122">K30</f>
        <v>145667.61923838675</v>
      </c>
      <c r="L259" s="237">
        <f t="shared" si="122"/>
        <v>92134.769168279629</v>
      </c>
      <c r="M259" s="237">
        <f t="shared" si="122"/>
        <v>69981.931429441029</v>
      </c>
      <c r="N259" s="237">
        <f t="shared" si="122"/>
        <v>72846.274565483618</v>
      </c>
      <c r="O259" s="237">
        <f t="shared" si="122"/>
        <v>71045.641914037114</v>
      </c>
      <c r="P259" s="237">
        <f t="shared" si="122"/>
        <v>69290.759060996774</v>
      </c>
    </row>
    <row r="260" spans="2:16" x14ac:dyDescent="0.3">
      <c r="C260" s="227" t="s">
        <v>149</v>
      </c>
      <c r="D260" s="227"/>
      <c r="E260" s="228" t="s">
        <v>505</v>
      </c>
      <c r="F260" s="238">
        <f>-'Raw Data'!E19</f>
        <v>-16860</v>
      </c>
      <c r="G260" s="238">
        <f>-'Raw Data'!F19</f>
        <v>-16956</v>
      </c>
      <c r="H260" s="238">
        <f>-'Raw Data'!G19</f>
        <v>-19498</v>
      </c>
      <c r="I260" s="238">
        <f>-'Raw Data'!H19</f>
        <v>-22505</v>
      </c>
      <c r="J260" s="237">
        <f>-J52</f>
        <v>-25502</v>
      </c>
      <c r="K260" s="237">
        <f t="shared" ref="K260:P260" si="123">-K52</f>
        <v>-25808.024000000001</v>
      </c>
      <c r="L260" s="237">
        <f t="shared" si="123"/>
        <v>-27304.889392000001</v>
      </c>
      <c r="M260" s="237">
        <f t="shared" si="123"/>
        <v>-29354.674198702207</v>
      </c>
      <c r="N260" s="237">
        <f t="shared" si="123"/>
        <v>-31235.179388582455</v>
      </c>
      <c r="O260" s="237">
        <f t="shared" si="123"/>
        <v>-33239.985037267783</v>
      </c>
      <c r="P260" s="237">
        <f t="shared" si="123"/>
        <v>-35371.84846668625</v>
      </c>
    </row>
    <row r="261" spans="2:16" x14ac:dyDescent="0.3">
      <c r="C261" s="226" t="s">
        <v>91</v>
      </c>
      <c r="D261" s="226"/>
      <c r="E261" s="231" t="s">
        <v>505</v>
      </c>
      <c r="F261" s="235">
        <f>SUM(F259:F260)</f>
        <v>13898</v>
      </c>
      <c r="G261" s="235">
        <f>SUM(G259:G260)</f>
        <v>-1416</v>
      </c>
      <c r="H261" s="235">
        <f>SUM(H259:H260)</f>
        <v>5613</v>
      </c>
      <c r="I261" s="235">
        <f>SUM(I259:I260)</f>
        <v>14873</v>
      </c>
      <c r="J261" s="235">
        <f>SUM(J259:J260)</f>
        <v>103457</v>
      </c>
      <c r="K261" s="235">
        <f t="shared" ref="K261:P261" si="124">SUM(K259:K260)</f>
        <v>119859.59523838674</v>
      </c>
      <c r="L261" s="235">
        <f t="shared" si="124"/>
        <v>64829.879776279631</v>
      </c>
      <c r="M261" s="235">
        <f t="shared" si="124"/>
        <v>40627.257230738818</v>
      </c>
      <c r="N261" s="235">
        <f t="shared" si="124"/>
        <v>41611.095176901159</v>
      </c>
      <c r="O261" s="235">
        <f t="shared" si="124"/>
        <v>37805.656876769332</v>
      </c>
      <c r="P261" s="235">
        <f t="shared" si="124"/>
        <v>33918.910594310524</v>
      </c>
    </row>
    <row r="262" spans="2:16" x14ac:dyDescent="0.3">
      <c r="C262" s="227" t="s">
        <v>260</v>
      </c>
      <c r="D262" s="227"/>
      <c r="E262" s="228" t="s">
        <v>529</v>
      </c>
      <c r="F262" s="233">
        <f>F261/F259</f>
        <v>0.45184992522270628</v>
      </c>
      <c r="G262" s="233">
        <f>G261/G259</f>
        <v>-9.1119691119691121E-2</v>
      </c>
      <c r="H262" s="233">
        <f>H261/H259</f>
        <v>0.22352753773246783</v>
      </c>
      <c r="I262" s="233">
        <f>I261/I259</f>
        <v>0.39790786023864305</v>
      </c>
      <c r="J262" s="233">
        <f>J261/J259</f>
        <v>0.80224722586248343</v>
      </c>
      <c r="K262" s="233">
        <f t="shared" ref="K262:P262" si="125">K261/K259</f>
        <v>0.82282936911486915</v>
      </c>
      <c r="L262" s="233">
        <f t="shared" si="125"/>
        <v>0.70364185379214483</v>
      </c>
      <c r="M262" s="233">
        <f t="shared" si="125"/>
        <v>0.58053923921349715</v>
      </c>
      <c r="N262" s="233">
        <f t="shared" si="125"/>
        <v>0.57121788897379711</v>
      </c>
      <c r="O262" s="233">
        <f t="shared" si="125"/>
        <v>0.53213196275308383</v>
      </c>
      <c r="P262" s="233">
        <f t="shared" si="125"/>
        <v>0.48951564471175224</v>
      </c>
    </row>
    <row r="263" spans="2:16" ht="6" customHeight="1" x14ac:dyDescent="0.3"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</row>
    <row r="264" spans="2:16" x14ac:dyDescent="0.3">
      <c r="B264" s="226" t="s">
        <v>536</v>
      </c>
    </row>
    <row r="265" spans="2:16" x14ac:dyDescent="0.3">
      <c r="C265" s="227" t="s">
        <v>150</v>
      </c>
      <c r="D265" s="227"/>
      <c r="E265" s="228" t="s">
        <v>505</v>
      </c>
      <c r="F265" s="238">
        <f>-'Raw Data'!E22</f>
        <v>-3116</v>
      </c>
      <c r="G265" s="238">
        <f>-'Raw Data'!F22</f>
        <v>-3114</v>
      </c>
      <c r="H265" s="238">
        <f>-'Raw Data'!G22</f>
        <v>-3430</v>
      </c>
      <c r="I265" s="238">
        <f>-'Raw Data'!H22</f>
        <v>-3798</v>
      </c>
      <c r="J265" s="237">
        <f>-J62</f>
        <v>-5145.3774453394708</v>
      </c>
      <c r="K265" s="237">
        <f t="shared" ref="K265:P265" si="126">-K62</f>
        <v>-5659.9151898734181</v>
      </c>
      <c r="L265" s="237">
        <f t="shared" si="126"/>
        <v>-6225.9067088607608</v>
      </c>
      <c r="M265" s="237">
        <f t="shared" si="126"/>
        <v>-6848.4973797468374</v>
      </c>
      <c r="N265" s="237">
        <f t="shared" si="126"/>
        <v>-7533.3471177215215</v>
      </c>
      <c r="O265" s="237">
        <f t="shared" si="126"/>
        <v>-8286.6818294936747</v>
      </c>
      <c r="P265" s="237">
        <f t="shared" si="126"/>
        <v>-9115.3500124430429</v>
      </c>
    </row>
    <row r="266" spans="2:16" x14ac:dyDescent="0.3">
      <c r="C266" s="227" t="s">
        <v>537</v>
      </c>
      <c r="D266" s="227"/>
      <c r="E266" s="228" t="s">
        <v>505</v>
      </c>
      <c r="F266" s="238">
        <f>-'Raw Data'!E23</f>
        <v>-1066</v>
      </c>
      <c r="G266" s="238">
        <f>-'Raw Data'!F23</f>
        <v>-920</v>
      </c>
      <c r="H266" s="238">
        <f>-'Raw Data'!G23</f>
        <v>-1129</v>
      </c>
      <c r="I266" s="238">
        <f>-'Raw Data'!H23</f>
        <v>-1205</v>
      </c>
      <c r="J266" s="237">
        <f>-J64</f>
        <v>-1523.5696202531644</v>
      </c>
      <c r="K266" s="237">
        <f t="shared" ref="K266:P266" si="127">-K64</f>
        <v>-1645.4551898734178</v>
      </c>
      <c r="L266" s="237">
        <f t="shared" si="127"/>
        <v>-1777.0916050632914</v>
      </c>
      <c r="M266" s="237">
        <f t="shared" si="127"/>
        <v>-1919.2589334683548</v>
      </c>
      <c r="N266" s="237">
        <f t="shared" si="127"/>
        <v>-2072.7996481458235</v>
      </c>
      <c r="O266" s="237">
        <f t="shared" si="127"/>
        <v>-2238.6236199974896</v>
      </c>
      <c r="P266" s="237">
        <f t="shared" si="127"/>
        <v>-2417.713509597289</v>
      </c>
    </row>
    <row r="267" spans="2:16" x14ac:dyDescent="0.3">
      <c r="C267" s="227" t="s">
        <v>538</v>
      </c>
      <c r="D267" s="227"/>
      <c r="E267" s="228" t="s">
        <v>505</v>
      </c>
      <c r="F267" s="238">
        <f>-('Raw Data'!E24+'Raw Data'!E25)</f>
        <v>-14</v>
      </c>
      <c r="G267" s="238">
        <f>-('Raw Data'!F24+'Raw Data'!F25)</f>
        <v>-295</v>
      </c>
      <c r="H267" s="238">
        <f>-('Raw Data'!G24+'Raw Data'!G25)</f>
        <v>250</v>
      </c>
      <c r="I267" s="238">
        <f>-('Raw Data'!H24+'Raw Data'!H25)</f>
        <v>-100</v>
      </c>
      <c r="J267" s="237">
        <f>-J65</f>
        <v>-59.052934407364788</v>
      </c>
      <c r="K267" s="237">
        <f t="shared" ref="K267:P267" si="128">-K65</f>
        <v>0</v>
      </c>
      <c r="L267" s="237">
        <f t="shared" si="128"/>
        <v>0</v>
      </c>
      <c r="M267" s="237">
        <f t="shared" si="128"/>
        <v>0</v>
      </c>
      <c r="N267" s="237">
        <f t="shared" si="128"/>
        <v>0</v>
      </c>
      <c r="O267" s="237">
        <f t="shared" si="128"/>
        <v>0</v>
      </c>
      <c r="P267" s="237">
        <f t="shared" si="128"/>
        <v>0</v>
      </c>
    </row>
    <row r="268" spans="2:16" x14ac:dyDescent="0.3">
      <c r="C268" s="226" t="s">
        <v>539</v>
      </c>
      <c r="D268" s="226"/>
      <c r="E268" s="231" t="s">
        <v>505</v>
      </c>
      <c r="F268" s="232">
        <f>SUM(F265:F267)</f>
        <v>-4196</v>
      </c>
      <c r="G268" s="232">
        <f>SUM(G265:G267)</f>
        <v>-4329</v>
      </c>
      <c r="H268" s="232">
        <f>SUM(H265:H267)</f>
        <v>-4309</v>
      </c>
      <c r="I268" s="232">
        <f>SUM(I265:I267)</f>
        <v>-5103</v>
      </c>
      <c r="J268" s="232">
        <f>SUM(J265:J267)</f>
        <v>-6728</v>
      </c>
      <c r="K268" s="232">
        <f t="shared" ref="K268:P268" si="129">SUM(K265:K267)</f>
        <v>-7305.3703797468361</v>
      </c>
      <c r="L268" s="232">
        <f t="shared" si="129"/>
        <v>-8002.9983139240521</v>
      </c>
      <c r="M268" s="232">
        <f t="shared" si="129"/>
        <v>-8767.7563132151918</v>
      </c>
      <c r="N268" s="232">
        <f t="shared" si="129"/>
        <v>-9606.1467658673446</v>
      </c>
      <c r="O268" s="232">
        <f t="shared" si="129"/>
        <v>-10525.305449491165</v>
      </c>
      <c r="P268" s="232">
        <f t="shared" si="129"/>
        <v>-11533.063522040331</v>
      </c>
    </row>
    <row r="269" spans="2:16" ht="6" customHeight="1" x14ac:dyDescent="0.3"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</row>
    <row r="270" spans="2:16" x14ac:dyDescent="0.3">
      <c r="B270" s="226" t="s">
        <v>540</v>
      </c>
    </row>
    <row r="271" spans="2:16" x14ac:dyDescent="0.3">
      <c r="C271" s="226" t="s">
        <v>151</v>
      </c>
      <c r="D271" s="226"/>
      <c r="E271" s="231" t="s">
        <v>505</v>
      </c>
      <c r="F271" s="235">
        <f>F261+F268</f>
        <v>9702</v>
      </c>
      <c r="G271" s="235">
        <f>G261+G268</f>
        <v>-5745</v>
      </c>
      <c r="H271" s="235">
        <f>H261+H268</f>
        <v>1304</v>
      </c>
      <c r="I271" s="235">
        <f>I261+I268</f>
        <v>9770</v>
      </c>
      <c r="J271" s="235">
        <f>J261+J268</f>
        <v>96729</v>
      </c>
      <c r="K271" s="235">
        <f t="shared" ref="K271:P271" si="130">K261+K268</f>
        <v>112554.22485863991</v>
      </c>
      <c r="L271" s="235">
        <f t="shared" si="130"/>
        <v>56826.881462355581</v>
      </c>
      <c r="M271" s="235">
        <f t="shared" si="130"/>
        <v>31859.500917523626</v>
      </c>
      <c r="N271" s="235">
        <f t="shared" si="130"/>
        <v>32004.948411033816</v>
      </c>
      <c r="O271" s="235">
        <f t="shared" si="130"/>
        <v>27280.351427278169</v>
      </c>
      <c r="P271" s="235">
        <f t="shared" si="130"/>
        <v>22385.847072270193</v>
      </c>
    </row>
    <row r="272" spans="2:16" x14ac:dyDescent="0.3">
      <c r="C272" s="227" t="s">
        <v>541</v>
      </c>
      <c r="D272" s="227"/>
      <c r="E272" s="228" t="s">
        <v>529</v>
      </c>
      <c r="F272" s="233">
        <f>F271/F259</f>
        <v>0.31543013199817932</v>
      </c>
      <c r="G272" s="233">
        <f>G271/G259</f>
        <v>-0.36969111969111967</v>
      </c>
      <c r="H272" s="233">
        <f>H271/H259</f>
        <v>5.192943331607662E-2</v>
      </c>
      <c r="I272" s="233">
        <f>I271/I259</f>
        <v>0.26138370164267749</v>
      </c>
      <c r="J272" s="233">
        <f>J271/J259</f>
        <v>0.75007560542498009</v>
      </c>
      <c r="K272" s="233">
        <f t="shared" ref="K272:P272" si="131">K271/K259</f>
        <v>0.77267841300024009</v>
      </c>
      <c r="L272" s="233">
        <f t="shared" si="131"/>
        <v>0.61677998409660173</v>
      </c>
      <c r="M272" s="233">
        <f t="shared" si="131"/>
        <v>0.45525323846835847</v>
      </c>
      <c r="N272" s="233">
        <f t="shared" si="131"/>
        <v>0.43934914450928642</v>
      </c>
      <c r="O272" s="233">
        <f t="shared" si="131"/>
        <v>0.3839834603829253</v>
      </c>
      <c r="P272" s="233">
        <f t="shared" si="131"/>
        <v>0.32307117681542347</v>
      </c>
    </row>
    <row r="273" spans="2:16" ht="6" customHeight="1" x14ac:dyDescent="0.3"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</row>
    <row r="274" spans="2:16" x14ac:dyDescent="0.3">
      <c r="B274" s="226" t="s">
        <v>542</v>
      </c>
    </row>
    <row r="275" spans="2:16" x14ac:dyDescent="0.3">
      <c r="C275" s="227" t="s">
        <v>152</v>
      </c>
      <c r="D275" s="227"/>
      <c r="E275" s="228" t="s">
        <v>505</v>
      </c>
      <c r="F275" s="238">
        <f>'Raw Data'!E28</f>
        <v>96</v>
      </c>
      <c r="G275" s="238">
        <f>'Raw Data'!F28</f>
        <v>468</v>
      </c>
      <c r="H275" s="238">
        <f>'Raw Data'!G28</f>
        <v>529</v>
      </c>
      <c r="I275" s="238">
        <f>'Raw Data'!H28</f>
        <v>496</v>
      </c>
      <c r="J275" s="237">
        <f>J153</f>
        <v>724</v>
      </c>
      <c r="K275" s="237">
        <f t="shared" ref="K275:P275" si="132">K153</f>
        <v>1803.146844939864</v>
      </c>
      <c r="L275" s="237">
        <f t="shared" si="132"/>
        <v>4424.0848937117926</v>
      </c>
      <c r="M275" s="237">
        <f t="shared" si="132"/>
        <v>5968.4913327154891</v>
      </c>
      <c r="N275" s="237">
        <f t="shared" si="132"/>
        <v>6907.6963512146658</v>
      </c>
      <c r="O275" s="237">
        <f t="shared" si="132"/>
        <v>7852.0989814272962</v>
      </c>
      <c r="P275" s="237">
        <f t="shared" si="132"/>
        <v>8799.4662650457176</v>
      </c>
    </row>
    <row r="276" spans="2:16" x14ac:dyDescent="0.3">
      <c r="C276" s="227" t="s">
        <v>153</v>
      </c>
      <c r="D276" s="227"/>
      <c r="E276" s="228" t="s">
        <v>505</v>
      </c>
      <c r="F276" s="238">
        <f>'Raw Data'!E29</f>
        <v>-189</v>
      </c>
      <c r="G276" s="238">
        <f>'Raw Data'!F29</f>
        <v>-388</v>
      </c>
      <c r="H276" s="238">
        <f>'Raw Data'!G29</f>
        <v>-562</v>
      </c>
      <c r="I276" s="238">
        <f>'Raw Data'!H29</f>
        <v>-477</v>
      </c>
      <c r="J276" s="237">
        <f>J154</f>
        <v>-106</v>
      </c>
      <c r="K276" s="237">
        <f t="shared" ref="K276:P276" si="133">K154</f>
        <v>-248.10399999999998</v>
      </c>
      <c r="L276" s="237">
        <f t="shared" si="133"/>
        <v>-248.10399999999998</v>
      </c>
      <c r="M276" s="237">
        <f t="shared" si="133"/>
        <v>-248.10399999999998</v>
      </c>
      <c r="N276" s="237">
        <f t="shared" si="133"/>
        <v>-248.10399999999998</v>
      </c>
      <c r="O276" s="237">
        <f t="shared" si="133"/>
        <v>-248.10399999999998</v>
      </c>
      <c r="P276" s="237">
        <f t="shared" si="133"/>
        <v>-237.66399999999999</v>
      </c>
    </row>
    <row r="277" spans="2:16" x14ac:dyDescent="0.3">
      <c r="C277" s="227" t="s">
        <v>543</v>
      </c>
      <c r="D277" s="227"/>
      <c r="E277" s="228" t="s">
        <v>505</v>
      </c>
      <c r="F277" s="238">
        <f>'Raw Data'!E30</f>
        <v>-38</v>
      </c>
      <c r="G277" s="238">
        <f>'Raw Data'!F30</f>
        <v>7</v>
      </c>
      <c r="H277" s="238">
        <f>'Raw Data'!G30</f>
        <v>-31</v>
      </c>
      <c r="I277" s="238">
        <f>'Raw Data'!H30</f>
        <v>-135</v>
      </c>
      <c r="J277" s="237">
        <f>J155</f>
        <v>-559</v>
      </c>
      <c r="K277" s="237">
        <f t="shared" ref="K277:P277" si="134">K155</f>
        <v>0</v>
      </c>
      <c r="L277" s="237">
        <f t="shared" si="134"/>
        <v>0</v>
      </c>
      <c r="M277" s="237">
        <f t="shared" si="134"/>
        <v>0</v>
      </c>
      <c r="N277" s="237">
        <f t="shared" si="134"/>
        <v>0</v>
      </c>
      <c r="O277" s="237">
        <f t="shared" si="134"/>
        <v>0</v>
      </c>
      <c r="P277" s="237">
        <f t="shared" si="134"/>
        <v>0</v>
      </c>
    </row>
    <row r="278" spans="2:16" x14ac:dyDescent="0.3">
      <c r="C278" s="226" t="s">
        <v>544</v>
      </c>
      <c r="D278" s="226"/>
      <c r="E278" s="231" t="s">
        <v>505</v>
      </c>
      <c r="F278" s="232">
        <f>F271+SUM(F275:F277)</f>
        <v>9571</v>
      </c>
      <c r="G278" s="232">
        <f>G271+SUM(G275:G277)</f>
        <v>-5658</v>
      </c>
      <c r="H278" s="232">
        <f>H271+SUM(H275:H277)</f>
        <v>1240</v>
      </c>
      <c r="I278" s="232">
        <f>I271+SUM(I275:I277)</f>
        <v>9654</v>
      </c>
      <c r="J278" s="232">
        <f>J271+SUM(J275:J277)</f>
        <v>96788</v>
      </c>
      <c r="K278" s="232">
        <f t="shared" ref="K278:P278" si="135">K271+SUM(K275:K277)</f>
        <v>114109.26770357977</v>
      </c>
      <c r="L278" s="232">
        <f t="shared" si="135"/>
        <v>61002.862356067373</v>
      </c>
      <c r="M278" s="232">
        <f t="shared" si="135"/>
        <v>37579.888250239113</v>
      </c>
      <c r="N278" s="232">
        <f t="shared" si="135"/>
        <v>38664.540762248478</v>
      </c>
      <c r="O278" s="232">
        <f t="shared" si="135"/>
        <v>34884.346408705467</v>
      </c>
      <c r="P278" s="232">
        <f t="shared" si="135"/>
        <v>30947.64933731591</v>
      </c>
    </row>
    <row r="279" spans="2:16" x14ac:dyDescent="0.3">
      <c r="C279" s="227" t="s">
        <v>268</v>
      </c>
      <c r="D279" s="227"/>
      <c r="E279" s="228" t="s">
        <v>505</v>
      </c>
      <c r="F279" s="238">
        <f>'Raw Data'!E32</f>
        <v>-888</v>
      </c>
      <c r="G279" s="238">
        <f>'Raw Data'!F32</f>
        <v>-177</v>
      </c>
      <c r="H279" s="238">
        <f>'Raw Data'!G32</f>
        <v>-451</v>
      </c>
      <c r="I279" s="238">
        <f>'Raw Data'!H32</f>
        <v>-1124</v>
      </c>
      <c r="J279" s="237">
        <f>-J161</f>
        <v>-13926.345000000001</v>
      </c>
      <c r="K279" s="237">
        <f t="shared" ref="K279:P279" si="136">-K161</f>
        <v>-17116.390155536963</v>
      </c>
      <c r="L279" s="237">
        <f t="shared" si="136"/>
        <v>-9150.4293534101053</v>
      </c>
      <c r="M279" s="237">
        <f t="shared" si="136"/>
        <v>-5636.9832375358665</v>
      </c>
      <c r="N279" s="237">
        <f t="shared" si="136"/>
        <v>-5799.6811143372724</v>
      </c>
      <c r="O279" s="237">
        <f t="shared" si="136"/>
        <v>-5232.6519613058199</v>
      </c>
      <c r="P279" s="237">
        <f t="shared" si="136"/>
        <v>-4642.147400597386</v>
      </c>
    </row>
    <row r="280" spans="2:16" x14ac:dyDescent="0.3">
      <c r="C280" s="227" t="s">
        <v>545</v>
      </c>
      <c r="D280" s="227"/>
      <c r="E280" s="228" t="s">
        <v>505</v>
      </c>
      <c r="F280" s="238">
        <f>'Raw Data'!E33</f>
        <v>4</v>
      </c>
      <c r="G280" s="238">
        <f>'Raw Data'!F33</f>
        <v>2</v>
      </c>
      <c r="H280" s="238">
        <f>'Raw Data'!G33</f>
        <v>-11</v>
      </c>
      <c r="I280" s="238">
        <f>'Raw Data'!H33</f>
        <v>9</v>
      </c>
      <c r="J280" s="238">
        <f>'Raw Data'!M33</f>
        <v>13</v>
      </c>
      <c r="K280" s="262">
        <v>0</v>
      </c>
      <c r="L280" s="262">
        <v>0</v>
      </c>
      <c r="M280" s="262">
        <v>0</v>
      </c>
      <c r="N280" s="262">
        <v>0</v>
      </c>
      <c r="O280" s="262">
        <v>0</v>
      </c>
      <c r="P280" s="262">
        <v>0</v>
      </c>
    </row>
    <row r="281" spans="2:16" x14ac:dyDescent="0.3">
      <c r="C281" s="226" t="s">
        <v>95</v>
      </c>
      <c r="D281" s="226"/>
      <c r="E281" s="231" t="s">
        <v>505</v>
      </c>
      <c r="F281" s="235">
        <f>F278+F279+F280</f>
        <v>8687</v>
      </c>
      <c r="G281" s="235">
        <f>G278+G279+G280</f>
        <v>-5833</v>
      </c>
      <c r="H281" s="235">
        <f>H278+H279+H280</f>
        <v>778</v>
      </c>
      <c r="I281" s="235">
        <f>I278+I279+I280</f>
        <v>8539</v>
      </c>
      <c r="J281" s="235">
        <f>J278+SUM(J279:J280)</f>
        <v>82874.654999999999</v>
      </c>
      <c r="K281" s="235">
        <f t="shared" ref="K281:P281" si="137">K278+SUM(K279:K280)</f>
        <v>96992.877548042801</v>
      </c>
      <c r="L281" s="235">
        <f t="shared" si="137"/>
        <v>51852.433002657272</v>
      </c>
      <c r="M281" s="235">
        <f t="shared" si="137"/>
        <v>31942.905012703246</v>
      </c>
      <c r="N281" s="235">
        <f t="shared" si="137"/>
        <v>32864.859647911202</v>
      </c>
      <c r="O281" s="235">
        <f t="shared" si="137"/>
        <v>29651.694447399648</v>
      </c>
      <c r="P281" s="235">
        <f t="shared" si="137"/>
        <v>26305.501936718523</v>
      </c>
    </row>
    <row r="282" spans="2:16" x14ac:dyDescent="0.3">
      <c r="C282" s="227" t="s">
        <v>546</v>
      </c>
      <c r="D282" s="227"/>
      <c r="E282" s="228" t="s">
        <v>529</v>
      </c>
      <c r="F282" s="233">
        <f>F281/F259</f>
        <v>0.28243058716431496</v>
      </c>
      <c r="G282" s="233">
        <f>G281/G259</f>
        <v>-0.37535392535392537</v>
      </c>
      <c r="H282" s="233">
        <f>H281/H259</f>
        <v>3.0982437975389271E-2</v>
      </c>
      <c r="I282" s="233">
        <f>I281/I259</f>
        <v>0.22844989030980792</v>
      </c>
      <c r="J282" s="233">
        <f>J281/J259</f>
        <v>0.6426434370613916</v>
      </c>
      <c r="K282" s="233">
        <f t="shared" ref="K282:P282" si="138">K281/K259</f>
        <v>0.66585064034933417</v>
      </c>
      <c r="L282" s="233">
        <f t="shared" si="138"/>
        <v>0.56278898260385668</v>
      </c>
      <c r="M282" s="233">
        <f t="shared" si="138"/>
        <v>0.45644503317130564</v>
      </c>
      <c r="N282" s="233">
        <f t="shared" si="138"/>
        <v>0.45115360866351556</v>
      </c>
      <c r="O282" s="233">
        <f t="shared" si="138"/>
        <v>0.41736120117370779</v>
      </c>
      <c r="P282" s="233">
        <f t="shared" si="138"/>
        <v>0.37963939626583892</v>
      </c>
    </row>
    <row r="283" spans="2:16" ht="6" customHeight="1" x14ac:dyDescent="0.3"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</row>
    <row r="284" spans="2:16" x14ac:dyDescent="0.3">
      <c r="B284" s="226" t="s">
        <v>547</v>
      </c>
    </row>
    <row r="285" spans="2:16" x14ac:dyDescent="0.3">
      <c r="C285" s="227" t="s">
        <v>67</v>
      </c>
      <c r="D285" s="227"/>
      <c r="E285" s="228" t="s">
        <v>548</v>
      </c>
      <c r="F285" s="238">
        <f>'Raw Data'!E42</f>
        <v>1122</v>
      </c>
      <c r="G285" s="238">
        <f>'Raw Data'!F42</f>
        <v>1093</v>
      </c>
      <c r="H285" s="238">
        <f>'Raw Data'!G42</f>
        <v>1118</v>
      </c>
      <c r="I285" s="238">
        <f>'Raw Data'!H42</f>
        <v>1125</v>
      </c>
      <c r="J285" s="237">
        <f>J232</f>
        <v>1150</v>
      </c>
      <c r="K285" s="237">
        <f t="shared" ref="K285:P285" si="139">K232</f>
        <v>1150</v>
      </c>
      <c r="L285" s="237">
        <f t="shared" si="139"/>
        <v>1150</v>
      </c>
      <c r="M285" s="237">
        <f t="shared" si="139"/>
        <v>1150</v>
      </c>
      <c r="N285" s="237">
        <f t="shared" si="139"/>
        <v>1150</v>
      </c>
      <c r="O285" s="237">
        <f t="shared" si="139"/>
        <v>1150</v>
      </c>
      <c r="P285" s="237">
        <f t="shared" si="139"/>
        <v>1150</v>
      </c>
    </row>
    <row r="286" spans="2:16" x14ac:dyDescent="0.3">
      <c r="C286" s="227" t="s">
        <v>549</v>
      </c>
      <c r="D286" s="227"/>
      <c r="E286" s="228" t="s">
        <v>550</v>
      </c>
      <c r="F286" s="239">
        <f t="shared" ref="F286:K286" si="140">F281/F285</f>
        <v>7.7424242424242422</v>
      </c>
      <c r="G286" s="239">
        <f t="shared" si="140"/>
        <v>-5.3366880146386091</v>
      </c>
      <c r="H286" s="239">
        <f t="shared" si="140"/>
        <v>0.69588550983899822</v>
      </c>
      <c r="I286" s="239">
        <f t="shared" si="140"/>
        <v>7.5902222222222226</v>
      </c>
      <c r="J286" s="239">
        <f t="shared" si="140"/>
        <v>72.064917391304348</v>
      </c>
      <c r="K286" s="239">
        <f t="shared" si="140"/>
        <v>84.341632650472008</v>
      </c>
      <c r="L286" s="239">
        <f t="shared" ref="L286:P286" si="141">L281/L285</f>
        <v>45.089072176223716</v>
      </c>
      <c r="M286" s="239">
        <f t="shared" si="141"/>
        <v>27.776439141481085</v>
      </c>
      <c r="N286" s="239">
        <f t="shared" si="141"/>
        <v>28.57813882427061</v>
      </c>
      <c r="O286" s="239">
        <f t="shared" si="141"/>
        <v>25.784082128173608</v>
      </c>
      <c r="P286" s="239">
        <f t="shared" si="141"/>
        <v>22.874349510190019</v>
      </c>
    </row>
    <row r="287" spans="2:16" x14ac:dyDescent="0.3">
      <c r="C287" s="227" t="s">
        <v>433</v>
      </c>
      <c r="D287" s="227"/>
      <c r="E287" s="228" t="s">
        <v>550</v>
      </c>
      <c r="F287" s="241">
        <f>'Raw Data'!E44</f>
        <v>0.315</v>
      </c>
      <c r="G287" s="241">
        <f>'Raw Data'!F44</f>
        <v>0.46</v>
      </c>
      <c r="H287" s="241">
        <f>'Raw Data'!G44</f>
        <v>0.46</v>
      </c>
      <c r="I287" s="241">
        <f>'Raw Data'!H44</f>
        <v>0.46</v>
      </c>
      <c r="J287" s="239">
        <f>J236</f>
        <v>0.53</v>
      </c>
      <c r="K287" s="239">
        <f t="shared" ref="K287:P287" si="142">K236</f>
        <v>0.6</v>
      </c>
      <c r="L287" s="239">
        <f t="shared" si="142"/>
        <v>0.66</v>
      </c>
      <c r="M287" s="239">
        <f t="shared" si="142"/>
        <v>0.72600000000000009</v>
      </c>
      <c r="N287" s="239">
        <f t="shared" si="142"/>
        <v>0.7986000000000002</v>
      </c>
      <c r="O287" s="239">
        <f t="shared" si="142"/>
        <v>0.87846000000000024</v>
      </c>
      <c r="P287" s="239">
        <f t="shared" si="142"/>
        <v>0.96630600000000033</v>
      </c>
    </row>
    <row r="288" spans="2:16" ht="12.75" customHeight="1" x14ac:dyDescent="0.3"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</row>
    <row r="290" spans="2:16" ht="12.75" customHeight="1" x14ac:dyDescent="0.3">
      <c r="P290" s="219"/>
    </row>
    <row r="291" spans="2:16" ht="22.8" customHeight="1" x14ac:dyDescent="0.45"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</row>
    <row r="292" spans="2:16" ht="17.399999999999999" customHeight="1" x14ac:dyDescent="0.35">
      <c r="B292" s="221" t="s">
        <v>503</v>
      </c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</row>
    <row r="293" spans="2:16" ht="3" customHeight="1" x14ac:dyDescent="0.35"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</row>
    <row r="294" spans="2:16" ht="12.75" customHeight="1" x14ac:dyDescent="0.3"/>
    <row r="295" spans="2:16" x14ac:dyDescent="0.3">
      <c r="F295" s="223" t="s">
        <v>495</v>
      </c>
      <c r="G295" s="224"/>
      <c r="H295" s="224"/>
      <c r="I295" s="224"/>
      <c r="J295" s="223" t="s">
        <v>126</v>
      </c>
      <c r="K295" s="224"/>
      <c r="L295" s="224"/>
      <c r="M295" s="224"/>
      <c r="N295" s="224"/>
      <c r="O295" s="224"/>
      <c r="P295" s="224"/>
    </row>
    <row r="296" spans="2:16" x14ac:dyDescent="0.3">
      <c r="E296" s="225" t="s">
        <v>107</v>
      </c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</row>
    <row r="297" spans="2:16" ht="6" customHeight="1" x14ac:dyDescent="0.3"/>
    <row r="298" spans="2:16" x14ac:dyDescent="0.3">
      <c r="B298" s="226" t="s">
        <v>504</v>
      </c>
    </row>
    <row r="299" spans="2:16" x14ac:dyDescent="0.3">
      <c r="C299" s="227" t="s">
        <v>95</v>
      </c>
      <c r="D299" s="227"/>
      <c r="E299" s="228" t="s">
        <v>505</v>
      </c>
      <c r="F299" s="238">
        <f>'Raw Data'!E96</f>
        <v>8687</v>
      </c>
      <c r="G299" s="238">
        <f>'Raw Data'!F96</f>
        <v>-5833</v>
      </c>
      <c r="H299" s="238">
        <f>'Raw Data'!G96</f>
        <v>778</v>
      </c>
      <c r="I299" s="238">
        <f>'Raw Data'!H96</f>
        <v>8539</v>
      </c>
      <c r="J299" s="237">
        <f>J281</f>
        <v>82874.654999999999</v>
      </c>
      <c r="K299" s="237">
        <f t="shared" ref="K299:P299" si="143">K281</f>
        <v>96992.877548042801</v>
      </c>
      <c r="L299" s="237">
        <f t="shared" si="143"/>
        <v>51852.433002657272</v>
      </c>
      <c r="M299" s="237">
        <f t="shared" si="143"/>
        <v>31942.905012703246</v>
      </c>
      <c r="N299" s="237">
        <f t="shared" si="143"/>
        <v>32864.859647911202</v>
      </c>
      <c r="O299" s="237">
        <f t="shared" si="143"/>
        <v>29651.694447399648</v>
      </c>
      <c r="P299" s="237">
        <f t="shared" si="143"/>
        <v>26305.501936718523</v>
      </c>
    </row>
    <row r="300" spans="2:16" x14ac:dyDescent="0.3">
      <c r="C300" s="227" t="s">
        <v>506</v>
      </c>
      <c r="D300" s="227"/>
      <c r="E300" s="228" t="s">
        <v>505</v>
      </c>
      <c r="F300" s="238">
        <f>'Raw Data'!E98</f>
        <v>7116</v>
      </c>
      <c r="G300" s="238">
        <f>'Raw Data'!F98</f>
        <v>7756</v>
      </c>
      <c r="H300" s="238">
        <f>'Raw Data'!G98</f>
        <v>7780</v>
      </c>
      <c r="I300" s="238">
        <f>'Raw Data'!H98</f>
        <v>8352</v>
      </c>
      <c r="J300" s="237">
        <f>J106</f>
        <v>9149.3333333333339</v>
      </c>
      <c r="K300" s="237">
        <f t="shared" ref="K300:P300" si="144">K106</f>
        <v>10893.130002193828</v>
      </c>
      <c r="L300" s="237">
        <f t="shared" si="144"/>
        <v>14051.677407044577</v>
      </c>
      <c r="M300" s="237">
        <f t="shared" si="144"/>
        <v>16758.331352040506</v>
      </c>
      <c r="N300" s="237">
        <f t="shared" si="144"/>
        <v>19154.440533931425</v>
      </c>
      <c r="O300" s="237">
        <f t="shared" si="144"/>
        <v>21471.100389251707</v>
      </c>
      <c r="P300" s="237">
        <f t="shared" si="144"/>
        <v>23730.516444949753</v>
      </c>
    </row>
    <row r="301" spans="2:16" x14ac:dyDescent="0.3">
      <c r="C301" s="227" t="s">
        <v>178</v>
      </c>
      <c r="D301" s="227"/>
      <c r="E301" s="228" t="s">
        <v>505</v>
      </c>
      <c r="F301" s="238">
        <f>'Raw Data'!E101</f>
        <v>514</v>
      </c>
      <c r="G301" s="238">
        <f>'Raw Data'!F101</f>
        <v>596</v>
      </c>
      <c r="H301" s="238">
        <f>'Raw Data'!G101</f>
        <v>833</v>
      </c>
      <c r="I301" s="238">
        <f>'Raw Data'!H101</f>
        <v>972</v>
      </c>
      <c r="J301" s="237">
        <f>J242</f>
        <v>1270</v>
      </c>
      <c r="K301" s="237">
        <f t="shared" ref="K301:P301" si="145">K242</f>
        <v>1397</v>
      </c>
      <c r="L301" s="237">
        <f t="shared" si="145"/>
        <v>1536.7</v>
      </c>
      <c r="M301" s="237">
        <f t="shared" si="145"/>
        <v>1690.3700000000001</v>
      </c>
      <c r="N301" s="237">
        <f t="shared" si="145"/>
        <v>1859.4070000000004</v>
      </c>
      <c r="O301" s="237">
        <f t="shared" si="145"/>
        <v>2045.3477000000005</v>
      </c>
      <c r="P301" s="237">
        <f t="shared" si="145"/>
        <v>2249.8824700000009</v>
      </c>
    </row>
    <row r="302" spans="2:16" x14ac:dyDescent="0.3">
      <c r="C302" s="227" t="s">
        <v>507</v>
      </c>
      <c r="D302" s="227"/>
      <c r="E302" s="228" t="s">
        <v>505</v>
      </c>
      <c r="F302" s="238">
        <f>'Raw Data'!E106+'Raw Data'!E107+'Raw Data'!E109</f>
        <v>-1655</v>
      </c>
      <c r="G302" s="238">
        <f>'Raw Data'!F106+'Raw Data'!F107+'Raw Data'!F109</f>
        <v>-2094</v>
      </c>
      <c r="H302" s="238">
        <f>'Raw Data'!G106+'Raw Data'!G107+'Raw Data'!G109</f>
        <v>-2154</v>
      </c>
      <c r="I302" s="238">
        <f>'Raw Data'!H106+'Raw Data'!H107+'Raw Data'!H109</f>
        <v>-394</v>
      </c>
      <c r="J302" s="238">
        <f>'Raw Data'!M106+'Raw Data'!M107+'Raw Data'!M109+(('Raw Data'!M53+'Raw Data'!M54+'Raw Data'!M56-'Raw Data'!M70-'Raw Data'!M72)-J138)</f>
        <v>-22780.007049337226</v>
      </c>
      <c r="K302" s="237">
        <f>K140</f>
        <v>1191.4891252188609</v>
      </c>
      <c r="L302" s="237">
        <f t="shared" ref="L302:P302" si="146">L140</f>
        <v>8648.1835197326691</v>
      </c>
      <c r="M302" s="237">
        <f t="shared" si="146"/>
        <v>3433.7759629653028</v>
      </c>
      <c r="N302" s="237">
        <f t="shared" si="146"/>
        <v>-661.47747996746511</v>
      </c>
      <c r="O302" s="237">
        <f t="shared" si="146"/>
        <v>92.767534480633913</v>
      </c>
      <c r="P302" s="237">
        <f t="shared" si="146"/>
        <v>72.367189846409019</v>
      </c>
    </row>
    <row r="303" spans="2:16" x14ac:dyDescent="0.3">
      <c r="C303" s="227" t="s">
        <v>508</v>
      </c>
      <c r="D303" s="227"/>
      <c r="E303" s="228" t="s">
        <v>505</v>
      </c>
      <c r="F303" s="238">
        <f>'Raw Data'!E113-SUM(F299:F302)</f>
        <v>519</v>
      </c>
      <c r="G303" s="238">
        <f>'Raw Data'!F113-SUM(G299:G302)</f>
        <v>1134</v>
      </c>
      <c r="H303" s="238">
        <f>'Raw Data'!G113-SUM(H299:H302)</f>
        <v>1270</v>
      </c>
      <c r="I303" s="238">
        <f>'Raw Data'!H113-SUM(I299:I302)</f>
        <v>56</v>
      </c>
      <c r="J303" s="238">
        <f>'Raw Data'!M113-('Raw Data'!M96+'Raw Data'!M98+'Raw Data'!M101+'Raw Data'!M106+'Raw Data'!M107+'Raw Data'!M109)+J163</f>
        <v>7454</v>
      </c>
      <c r="K303" s="237">
        <f>K163</f>
        <v>0</v>
      </c>
      <c r="L303" s="237">
        <f t="shared" ref="L303:P303" si="147">L163</f>
        <v>0</v>
      </c>
      <c r="M303" s="237">
        <f t="shared" si="147"/>
        <v>0</v>
      </c>
      <c r="N303" s="237">
        <f t="shared" si="147"/>
        <v>0</v>
      </c>
      <c r="O303" s="237">
        <f t="shared" si="147"/>
        <v>0</v>
      </c>
      <c r="P303" s="237">
        <f t="shared" si="147"/>
        <v>0</v>
      </c>
    </row>
    <row r="304" spans="2:16" x14ac:dyDescent="0.3">
      <c r="C304" s="226" t="s">
        <v>509</v>
      </c>
      <c r="D304" s="226"/>
      <c r="E304" s="231" t="s">
        <v>505</v>
      </c>
      <c r="F304" s="232">
        <f>SUM(F299:F303)</f>
        <v>15181</v>
      </c>
      <c r="G304" s="232">
        <f>SUM(G299:G303)</f>
        <v>1559</v>
      </c>
      <c r="H304" s="232">
        <f>SUM(H299:H303)</f>
        <v>8507</v>
      </c>
      <c r="I304" s="232">
        <f>SUM(I299:I303)</f>
        <v>17525</v>
      </c>
      <c r="J304" s="232">
        <f>SUM(J299:J303)</f>
        <v>77967.981283996109</v>
      </c>
      <c r="K304" s="232">
        <f t="shared" ref="K304:P304" si="148">SUM(K299:K303)</f>
        <v>110474.49667545548</v>
      </c>
      <c r="L304" s="232">
        <f t="shared" si="148"/>
        <v>76088.993929434524</v>
      </c>
      <c r="M304" s="232">
        <f t="shared" si="148"/>
        <v>53825.382327709056</v>
      </c>
      <c r="N304" s="232">
        <f t="shared" si="148"/>
        <v>53217.229701875163</v>
      </c>
      <c r="O304" s="232">
        <f t="shared" si="148"/>
        <v>53260.910071131992</v>
      </c>
      <c r="P304" s="232">
        <f t="shared" si="148"/>
        <v>52358.26804151469</v>
      </c>
    </row>
    <row r="305" spans="2:16" ht="6" customHeight="1" x14ac:dyDescent="0.3"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</row>
    <row r="306" spans="2:16" x14ac:dyDescent="0.3">
      <c r="B306" s="226" t="s">
        <v>510</v>
      </c>
    </row>
    <row r="307" spans="2:16" x14ac:dyDescent="0.3">
      <c r="C307" s="227" t="s">
        <v>511</v>
      </c>
      <c r="D307" s="227"/>
      <c r="E307" s="228" t="s">
        <v>505</v>
      </c>
      <c r="F307" s="238">
        <f>'Raw Data'!E115</f>
        <v>-12067</v>
      </c>
      <c r="G307" s="238">
        <f>'Raw Data'!F115</f>
        <v>-7676</v>
      </c>
      <c r="H307" s="238">
        <f>'Raw Data'!G115</f>
        <v>-8386</v>
      </c>
      <c r="I307" s="238">
        <f>'Raw Data'!H115</f>
        <v>-15857</v>
      </c>
      <c r="J307" s="237">
        <f>-J84</f>
        <v>-30985.333333333332</v>
      </c>
      <c r="K307" s="237">
        <f t="shared" ref="K307:P307" si="149">-K84</f>
        <v>-36416.904809596686</v>
      </c>
      <c r="L307" s="237">
        <f t="shared" si="149"/>
        <v>-32247.169208897867</v>
      </c>
      <c r="M307" s="237">
        <f t="shared" si="149"/>
        <v>-26593.133943187589</v>
      </c>
      <c r="N307" s="237">
        <f t="shared" si="149"/>
        <v>-25496.196097919266</v>
      </c>
      <c r="O307" s="237">
        <f t="shared" si="149"/>
        <v>-24865.97466991299</v>
      </c>
      <c r="P307" s="237">
        <f t="shared" si="149"/>
        <v>-24251.765671348869</v>
      </c>
    </row>
    <row r="308" spans="2:16" x14ac:dyDescent="0.3">
      <c r="C308" s="227" t="s">
        <v>305</v>
      </c>
      <c r="D308" s="227"/>
      <c r="E308" s="228" t="s">
        <v>505</v>
      </c>
      <c r="F308" s="238">
        <f>'Raw Data'!E119</f>
        <v>115</v>
      </c>
      <c r="G308" s="238">
        <f>'Raw Data'!F119</f>
        <v>710</v>
      </c>
      <c r="H308" s="238">
        <f>'Raw Data'!G119</f>
        <v>315</v>
      </c>
      <c r="I308" s="238">
        <f>'Raw Data'!H119</f>
        <v>2005</v>
      </c>
      <c r="J308" s="237">
        <f>J86</f>
        <v>3985.3333333333335</v>
      </c>
      <c r="K308" s="237">
        <f t="shared" ref="K308:P308" si="150">K86</f>
        <v>2913.3523847677347</v>
      </c>
      <c r="L308" s="237">
        <f t="shared" si="150"/>
        <v>2579.7735367118294</v>
      </c>
      <c r="M308" s="237">
        <f t="shared" si="150"/>
        <v>2127.4507154550074</v>
      </c>
      <c r="N308" s="237">
        <f t="shared" si="150"/>
        <v>2039.6956878335413</v>
      </c>
      <c r="O308" s="237">
        <f t="shared" si="150"/>
        <v>1989.2779735930392</v>
      </c>
      <c r="P308" s="237">
        <f t="shared" si="150"/>
        <v>1940.1412537079095</v>
      </c>
    </row>
    <row r="309" spans="2:16" x14ac:dyDescent="0.3">
      <c r="C309" s="227" t="s">
        <v>512</v>
      </c>
      <c r="D309" s="227"/>
      <c r="E309" s="228" t="s">
        <v>505</v>
      </c>
      <c r="F309" s="238">
        <f>'Raw Data'!E122-F307-F308</f>
        <v>367</v>
      </c>
      <c r="G309" s="238">
        <f>'Raw Data'!F122-G307-G308</f>
        <v>775</v>
      </c>
      <c r="H309" s="238">
        <f>'Raw Data'!G122-H307-H308</f>
        <v>-238</v>
      </c>
      <c r="I309" s="238">
        <f>'Raw Data'!H122-I307-I308</f>
        <v>-235</v>
      </c>
      <c r="J309" s="238">
        <f>'Raw Data'!M122-'Raw Data'!M115-'Raw Data'!M119</f>
        <v>-3075</v>
      </c>
      <c r="K309" s="262">
        <v>0</v>
      </c>
      <c r="L309" s="262">
        <v>0</v>
      </c>
      <c r="M309" s="262">
        <v>0</v>
      </c>
      <c r="N309" s="262">
        <v>0</v>
      </c>
      <c r="O309" s="262">
        <v>0</v>
      </c>
      <c r="P309" s="262">
        <v>0</v>
      </c>
    </row>
    <row r="310" spans="2:16" x14ac:dyDescent="0.3">
      <c r="C310" s="226" t="s">
        <v>513</v>
      </c>
      <c r="D310" s="226"/>
      <c r="E310" s="231" t="s">
        <v>505</v>
      </c>
      <c r="F310" s="232">
        <f>SUM(F307:F309)</f>
        <v>-11585</v>
      </c>
      <c r="G310" s="232">
        <f>SUM(G307:G309)</f>
        <v>-6191</v>
      </c>
      <c r="H310" s="232">
        <f>SUM(H307:H309)</f>
        <v>-8309</v>
      </c>
      <c r="I310" s="232">
        <f>SUM(I307:I309)</f>
        <v>-14087</v>
      </c>
      <c r="J310" s="232">
        <f>SUM(J307:J309)</f>
        <v>-30075</v>
      </c>
      <c r="K310" s="232">
        <f t="shared" ref="K310:P310" si="151">SUM(K307:K309)</f>
        <v>-33503.552424828951</v>
      </c>
      <c r="L310" s="232">
        <f t="shared" si="151"/>
        <v>-29667.395672186038</v>
      </c>
      <c r="M310" s="232">
        <f t="shared" si="151"/>
        <v>-24465.683227732581</v>
      </c>
      <c r="N310" s="232">
        <f t="shared" si="151"/>
        <v>-23456.500410085726</v>
      </c>
      <c r="O310" s="232">
        <f t="shared" si="151"/>
        <v>-22876.696696319952</v>
      </c>
      <c r="P310" s="232">
        <f t="shared" si="151"/>
        <v>-22311.62441764096</v>
      </c>
    </row>
    <row r="311" spans="2:16" ht="6" customHeight="1" x14ac:dyDescent="0.3"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</row>
    <row r="312" spans="2:16" x14ac:dyDescent="0.3">
      <c r="B312" s="226" t="s">
        <v>514</v>
      </c>
    </row>
    <row r="313" spans="2:16" x14ac:dyDescent="0.3">
      <c r="C313" s="227" t="s">
        <v>515</v>
      </c>
      <c r="D313" s="227"/>
      <c r="E313" s="228" t="s">
        <v>505</v>
      </c>
      <c r="F313" s="238">
        <f>'Raw Data'!E124+'Raw Data'!E130</f>
        <v>-32</v>
      </c>
      <c r="G313" s="238">
        <f>'Raw Data'!F124+'Raw Data'!F130</f>
        <v>5955</v>
      </c>
      <c r="H313" s="238">
        <f>'Raw Data'!G124+'Raw Data'!G130</f>
        <v>-898</v>
      </c>
      <c r="I313" s="238">
        <f>'Raw Data'!H124+'Raw Data'!H130</f>
        <v>-189</v>
      </c>
      <c r="J313" s="238">
        <f>'Raw Data'!M124+'Raw Data'!M130</f>
        <v>-9380</v>
      </c>
      <c r="K313" s="237">
        <f>K195+K202+K209</f>
        <v>0</v>
      </c>
      <c r="L313" s="237">
        <f t="shared" ref="L313:P313" si="152">L195+L202+L209</f>
        <v>0</v>
      </c>
      <c r="M313" s="237">
        <f t="shared" si="152"/>
        <v>0</v>
      </c>
      <c r="N313" s="237">
        <f t="shared" si="152"/>
        <v>0</v>
      </c>
      <c r="O313" s="237">
        <f t="shared" si="152"/>
        <v>-261</v>
      </c>
      <c r="P313" s="237">
        <f t="shared" si="152"/>
        <v>-996</v>
      </c>
    </row>
    <row r="314" spans="2:16" x14ac:dyDescent="0.3">
      <c r="C314" s="227" t="s">
        <v>516</v>
      </c>
      <c r="D314" s="227"/>
      <c r="E314" s="228" t="s">
        <v>505</v>
      </c>
      <c r="F314" s="238">
        <f>'Raw Data'!E125+'Raw Data'!E126</f>
        <v>-2432</v>
      </c>
      <c r="G314" s="238">
        <f>'Raw Data'!F125+'Raw Data'!F126</f>
        <v>-425</v>
      </c>
      <c r="H314" s="238">
        <f>'Raw Data'!G125+'Raw Data'!G126</f>
        <v>-300</v>
      </c>
      <c r="I314" s="238">
        <f>'Raw Data'!H125+'Raw Data'!H126</f>
        <v>0</v>
      </c>
      <c r="J314" s="237">
        <f>-J234</f>
        <v>-1728</v>
      </c>
      <c r="K314" s="237">
        <f t="shared" ref="K314:P314" si="153">-K234</f>
        <v>-1397</v>
      </c>
      <c r="L314" s="237">
        <f t="shared" si="153"/>
        <v>-1536.7</v>
      </c>
      <c r="M314" s="237">
        <f t="shared" si="153"/>
        <v>-1690.3700000000001</v>
      </c>
      <c r="N314" s="237">
        <f t="shared" si="153"/>
        <v>-1859.4070000000004</v>
      </c>
      <c r="O314" s="237">
        <f t="shared" si="153"/>
        <v>-2045.3477000000005</v>
      </c>
      <c r="P314" s="237">
        <f t="shared" si="153"/>
        <v>-2249.8824700000009</v>
      </c>
    </row>
    <row r="315" spans="2:16" x14ac:dyDescent="0.3">
      <c r="C315" s="227" t="s">
        <v>435</v>
      </c>
      <c r="D315" s="227"/>
      <c r="E315" s="228" t="s">
        <v>505</v>
      </c>
      <c r="F315" s="238">
        <f>'Raw Data'!E127</f>
        <v>-461</v>
      </c>
      <c r="G315" s="238">
        <f>'Raw Data'!F127</f>
        <v>-504</v>
      </c>
      <c r="H315" s="238">
        <f>'Raw Data'!G127</f>
        <v>-513</v>
      </c>
      <c r="I315" s="238">
        <f>'Raw Data'!H127</f>
        <v>-522</v>
      </c>
      <c r="J315" s="237">
        <f>-J237</f>
        <v>-609.5</v>
      </c>
      <c r="K315" s="237">
        <f t="shared" ref="K315:P315" si="154">-K237</f>
        <v>-690</v>
      </c>
      <c r="L315" s="237">
        <f t="shared" si="154"/>
        <v>-759</v>
      </c>
      <c r="M315" s="237">
        <f t="shared" si="154"/>
        <v>-834.90000000000009</v>
      </c>
      <c r="N315" s="237">
        <f t="shared" si="154"/>
        <v>-918.39000000000021</v>
      </c>
      <c r="O315" s="237">
        <f t="shared" si="154"/>
        <v>-1010.2290000000003</v>
      </c>
      <c r="P315" s="237">
        <f t="shared" si="154"/>
        <v>-1111.2519000000004</v>
      </c>
    </row>
    <row r="316" spans="2:16" x14ac:dyDescent="0.3">
      <c r="C316" s="227" t="s">
        <v>517</v>
      </c>
      <c r="D316" s="227"/>
      <c r="E316" s="228" t="s">
        <v>505</v>
      </c>
      <c r="F316" s="238">
        <f>'Raw Data'!E132-SUM(F313:F315)</f>
        <v>-55</v>
      </c>
      <c r="G316" s="238">
        <f>'Raw Data'!F132-SUM(G313:G315)</f>
        <v>-43</v>
      </c>
      <c r="H316" s="238">
        <f>'Raw Data'!G132-SUM(H313:H315)</f>
        <v>-131</v>
      </c>
      <c r="I316" s="238">
        <f>'Raw Data'!H132-SUM(I313:I315)</f>
        <v>-139</v>
      </c>
      <c r="J316" s="238">
        <f>'Raw Data'!M132-('Raw Data'!M124+'Raw Data'!M125+'Raw Data'!M130+'Raw Data'!M126+'Raw Data'!M127)</f>
        <v>583</v>
      </c>
      <c r="K316" s="262">
        <v>0</v>
      </c>
      <c r="L316" s="262">
        <v>0</v>
      </c>
      <c r="M316" s="262">
        <v>0</v>
      </c>
      <c r="N316" s="262">
        <v>0</v>
      </c>
      <c r="O316" s="262">
        <v>0</v>
      </c>
      <c r="P316" s="262">
        <v>0</v>
      </c>
    </row>
    <row r="317" spans="2:16" x14ac:dyDescent="0.3">
      <c r="C317" s="226" t="s">
        <v>518</v>
      </c>
      <c r="D317" s="226"/>
      <c r="E317" s="231" t="s">
        <v>505</v>
      </c>
      <c r="F317" s="232">
        <f>SUM(F313:F316)</f>
        <v>-2980</v>
      </c>
      <c r="G317" s="232">
        <f>SUM(G313:G316)</f>
        <v>4983</v>
      </c>
      <c r="H317" s="232">
        <f>SUM(H313:H316)</f>
        <v>-1842</v>
      </c>
      <c r="I317" s="232">
        <f>SUM(I313:I316)</f>
        <v>-850</v>
      </c>
      <c r="J317" s="232">
        <f>SUM(J313:J316)</f>
        <v>-11134.5</v>
      </c>
      <c r="K317" s="232">
        <f t="shared" ref="K317:P317" si="155">SUM(K313:K316)</f>
        <v>-2087</v>
      </c>
      <c r="L317" s="232">
        <f t="shared" si="155"/>
        <v>-2295.6999999999998</v>
      </c>
      <c r="M317" s="232">
        <f t="shared" si="155"/>
        <v>-2525.2700000000004</v>
      </c>
      <c r="N317" s="232">
        <f t="shared" si="155"/>
        <v>-2777.7970000000005</v>
      </c>
      <c r="O317" s="232">
        <f t="shared" si="155"/>
        <v>-3316.5767000000005</v>
      </c>
      <c r="P317" s="232">
        <f t="shared" si="155"/>
        <v>-4357.1343700000016</v>
      </c>
    </row>
    <row r="318" spans="2:16" ht="6" customHeight="1" x14ac:dyDescent="0.3"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</row>
    <row r="319" spans="2:16" x14ac:dyDescent="0.3">
      <c r="B319" s="226" t="s">
        <v>519</v>
      </c>
    </row>
    <row r="320" spans="2:16" x14ac:dyDescent="0.3">
      <c r="C320" s="227" t="s">
        <v>520</v>
      </c>
      <c r="D320" s="227"/>
      <c r="E320" s="228" t="s">
        <v>505</v>
      </c>
      <c r="F320" s="238">
        <f>F304+F310+F317+'Raw Data'!E134</f>
        <v>510</v>
      </c>
      <c r="G320" s="238">
        <f>G304+G310+G317+'Raw Data'!F134</f>
        <v>317</v>
      </c>
      <c r="H320" s="238">
        <f>H304+H310+H317+'Raw Data'!G134</f>
        <v>-1604</v>
      </c>
      <c r="I320" s="238">
        <f>I304+I310+I317+'Raw Data'!H134</f>
        <v>2594</v>
      </c>
      <c r="J320" s="238">
        <f>J304+J310+J317+'Raw Data'!M134</f>
        <v>36766.481283996109</v>
      </c>
      <c r="K320" s="237">
        <f>K304+K310+K317</f>
        <v>74883.944250626519</v>
      </c>
      <c r="L320" s="237">
        <f t="shared" ref="L320:P320" si="156">L304+L310+L317</f>
        <v>44125.898257248489</v>
      </c>
      <c r="M320" s="237">
        <f t="shared" si="156"/>
        <v>26834.429099976474</v>
      </c>
      <c r="N320" s="237">
        <f t="shared" si="156"/>
        <v>26982.932291789439</v>
      </c>
      <c r="O320" s="237">
        <f t="shared" si="156"/>
        <v>27067.636674812038</v>
      </c>
      <c r="P320" s="237">
        <f t="shared" si="156"/>
        <v>25689.50925387373</v>
      </c>
    </row>
    <row r="321" spans="2:16" x14ac:dyDescent="0.3">
      <c r="C321" s="227" t="s">
        <v>521</v>
      </c>
      <c r="D321" s="227"/>
      <c r="E321" s="228" t="s">
        <v>505</v>
      </c>
      <c r="F321" s="238">
        <f>'Raw Data'!E136</f>
        <v>7829</v>
      </c>
      <c r="G321" s="238">
        <f>'Raw Data'!F136</f>
        <v>8339</v>
      </c>
      <c r="H321" s="238">
        <f>'Raw Data'!G136</f>
        <v>8656</v>
      </c>
      <c r="I321" s="238">
        <f>'Raw Data'!H136</f>
        <v>7052</v>
      </c>
      <c r="J321" s="237">
        <f>I322</f>
        <v>9646</v>
      </c>
      <c r="K321" s="237">
        <f t="shared" ref="K321:P321" si="157">J322</f>
        <v>46412.481283996109</v>
      </c>
      <c r="L321" s="237">
        <f t="shared" si="157"/>
        <v>121296.42553462263</v>
      </c>
      <c r="M321" s="237">
        <f t="shared" si="157"/>
        <v>165422.32379187111</v>
      </c>
      <c r="N321" s="237">
        <f t="shared" si="157"/>
        <v>192256.75289184757</v>
      </c>
      <c r="O321" s="237">
        <f t="shared" si="157"/>
        <v>219239.68518363702</v>
      </c>
      <c r="P321" s="237">
        <f t="shared" si="157"/>
        <v>246307.32185844905</v>
      </c>
    </row>
    <row r="322" spans="2:16" x14ac:dyDescent="0.3">
      <c r="C322" s="226" t="s">
        <v>522</v>
      </c>
      <c r="D322" s="226"/>
      <c r="E322" s="231" t="s">
        <v>505</v>
      </c>
      <c r="F322" s="235">
        <f>F321+F320</f>
        <v>8339</v>
      </c>
      <c r="G322" s="235">
        <f>G321+G320</f>
        <v>8656</v>
      </c>
      <c r="H322" s="235">
        <f>H321+H320</f>
        <v>7052</v>
      </c>
      <c r="I322" s="235">
        <f>I321+I320</f>
        <v>9646</v>
      </c>
      <c r="J322" s="235">
        <f>J320+J321</f>
        <v>46412.481283996109</v>
      </c>
      <c r="K322" s="235">
        <f t="shared" ref="K322:P322" si="158">K320+K321</f>
        <v>121296.42553462263</v>
      </c>
      <c r="L322" s="235">
        <f t="shared" si="158"/>
        <v>165422.32379187111</v>
      </c>
      <c r="M322" s="235">
        <f t="shared" si="158"/>
        <v>192256.75289184757</v>
      </c>
      <c r="N322" s="235">
        <f t="shared" si="158"/>
        <v>219239.68518363702</v>
      </c>
      <c r="O322" s="235">
        <f t="shared" si="158"/>
        <v>246307.32185844905</v>
      </c>
      <c r="P322" s="235">
        <f t="shared" si="158"/>
        <v>271996.8311123228</v>
      </c>
    </row>
    <row r="323" spans="2:16" ht="12.75" customHeight="1" x14ac:dyDescent="0.3">
      <c r="B323" s="236"/>
      <c r="C323" s="236"/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</row>
    <row r="325" spans="2:16" ht="12.75" customHeight="1" x14ac:dyDescent="0.3">
      <c r="P325" s="219"/>
    </row>
    <row r="326" spans="2:16" ht="22.8" customHeight="1" x14ac:dyDescent="0.45"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</row>
    <row r="327" spans="2:16" ht="17.399999999999999" customHeight="1" x14ac:dyDescent="0.35">
      <c r="B327" s="221" t="s">
        <v>523</v>
      </c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</row>
    <row r="328" spans="2:16" ht="3" customHeight="1" x14ac:dyDescent="0.35"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</row>
    <row r="329" spans="2:16" ht="12.75" customHeight="1" x14ac:dyDescent="0.3"/>
    <row r="330" spans="2:16" x14ac:dyDescent="0.3">
      <c r="F330" s="223" t="s">
        <v>495</v>
      </c>
      <c r="G330" s="224"/>
      <c r="H330" s="224"/>
      <c r="I330" s="224"/>
      <c r="J330" s="223" t="s">
        <v>126</v>
      </c>
      <c r="K330" s="224"/>
      <c r="L330" s="224"/>
      <c r="M330" s="224"/>
      <c r="N330" s="224"/>
      <c r="O330" s="224"/>
      <c r="P330" s="224"/>
    </row>
    <row r="331" spans="2:16" x14ac:dyDescent="0.3">
      <c r="E331" s="225" t="s">
        <v>107</v>
      </c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</row>
    <row r="332" spans="2:16" ht="6" customHeight="1" x14ac:dyDescent="0.3"/>
    <row r="333" spans="2:16" x14ac:dyDescent="0.3">
      <c r="B333" s="226" t="s">
        <v>551</v>
      </c>
    </row>
    <row r="334" spans="2:16" x14ac:dyDescent="0.3">
      <c r="C334" s="227" t="s">
        <v>158</v>
      </c>
      <c r="D334" s="227"/>
      <c r="E334" s="228" t="s">
        <v>505</v>
      </c>
      <c r="F334" s="238">
        <f>'Raw Data'!E51</f>
        <v>8262</v>
      </c>
      <c r="G334" s="238">
        <f>'Raw Data'!F51</f>
        <v>8577</v>
      </c>
      <c r="H334" s="238">
        <f>'Raw Data'!G51</f>
        <v>7041</v>
      </c>
      <c r="I334" s="238">
        <f>'Raw Data'!H51</f>
        <v>9642</v>
      </c>
      <c r="J334" s="238">
        <f>J322-('Raw Data'!M137-'Raw Data'!M51)</f>
        <v>46385.481283996109</v>
      </c>
      <c r="K334" s="237">
        <f>K322-(J322-J334)</f>
        <v>121269.42553462263</v>
      </c>
      <c r="L334" s="237">
        <f t="shared" ref="L334:P334" si="159">L322-(K322-K334)</f>
        <v>165395.32379187111</v>
      </c>
      <c r="M334" s="237">
        <f t="shared" si="159"/>
        <v>192229.75289184757</v>
      </c>
      <c r="N334" s="237">
        <f t="shared" si="159"/>
        <v>219212.68518363702</v>
      </c>
      <c r="O334" s="237">
        <f t="shared" si="159"/>
        <v>246280.32185844905</v>
      </c>
      <c r="P334" s="237">
        <f t="shared" si="159"/>
        <v>271969.8311123228</v>
      </c>
    </row>
    <row r="335" spans="2:16" x14ac:dyDescent="0.3">
      <c r="C335" s="227" t="s">
        <v>159</v>
      </c>
      <c r="D335" s="227"/>
      <c r="E335" s="228" t="s">
        <v>505</v>
      </c>
      <c r="F335" s="238">
        <f>'Raw Data'!E52</f>
        <v>1069</v>
      </c>
      <c r="G335" s="238">
        <f>'Raw Data'!F52</f>
        <v>1017</v>
      </c>
      <c r="H335" s="238">
        <f>'Raw Data'!G52</f>
        <v>1065</v>
      </c>
      <c r="I335" s="238">
        <f>'Raw Data'!H52</f>
        <v>665</v>
      </c>
      <c r="J335" s="238">
        <f>'Raw Data'!M52</f>
        <v>1027</v>
      </c>
      <c r="K335" s="237">
        <f>J335</f>
        <v>1027</v>
      </c>
      <c r="L335" s="237">
        <f t="shared" ref="L335:P335" si="160">K335</f>
        <v>1027</v>
      </c>
      <c r="M335" s="237">
        <f t="shared" si="160"/>
        <v>1027</v>
      </c>
      <c r="N335" s="237">
        <f t="shared" si="160"/>
        <v>1027</v>
      </c>
      <c r="O335" s="237">
        <f t="shared" si="160"/>
        <v>1027</v>
      </c>
      <c r="P335" s="237">
        <f t="shared" si="160"/>
        <v>1027</v>
      </c>
    </row>
    <row r="336" spans="2:16" x14ac:dyDescent="0.3">
      <c r="C336" s="227" t="s">
        <v>277</v>
      </c>
      <c r="D336" s="227"/>
      <c r="E336" s="228" t="s">
        <v>505</v>
      </c>
      <c r="F336" s="238">
        <f>'Raw Data'!E53</f>
        <v>5130</v>
      </c>
      <c r="G336" s="238">
        <f>'Raw Data'!F53</f>
        <v>2443</v>
      </c>
      <c r="H336" s="238">
        <f>'Raw Data'!G53</f>
        <v>6615</v>
      </c>
      <c r="I336" s="238">
        <f>'Raw Data'!H53</f>
        <v>9265</v>
      </c>
      <c r="J336" s="237">
        <f>J133</f>
        <v>37899.335034638229</v>
      </c>
      <c r="K336" s="237">
        <f t="shared" ref="K336:P336" si="161">K133</f>
        <v>30330.791951006555</v>
      </c>
      <c r="L336" s="237">
        <f t="shared" si="161"/>
        <v>19184.225909011649</v>
      </c>
      <c r="M336" s="237">
        <f t="shared" si="161"/>
        <v>14571.580242842514</v>
      </c>
      <c r="N336" s="237">
        <f t="shared" si="161"/>
        <v>15167.991416374671</v>
      </c>
      <c r="O336" s="237">
        <f t="shared" si="161"/>
        <v>14793.065165662523</v>
      </c>
      <c r="P336" s="237">
        <f t="shared" si="161"/>
        <v>14427.66490037193</v>
      </c>
    </row>
    <row r="337" spans="2:16" x14ac:dyDescent="0.3">
      <c r="C337" s="227" t="s">
        <v>160</v>
      </c>
      <c r="D337" s="227"/>
      <c r="E337" s="228" t="s">
        <v>505</v>
      </c>
      <c r="F337" s="238">
        <f>'Raw Data'!E54</f>
        <v>6663</v>
      </c>
      <c r="G337" s="238">
        <f>'Raw Data'!F54</f>
        <v>8387</v>
      </c>
      <c r="H337" s="238">
        <f>'Raw Data'!G54</f>
        <v>8875</v>
      </c>
      <c r="I337" s="238">
        <f>'Raw Data'!H54</f>
        <v>8355</v>
      </c>
      <c r="J337" s="237">
        <f>J134</f>
        <v>8831.8994143543168</v>
      </c>
      <c r="K337" s="237">
        <f t="shared" ref="K337:P337" si="162">K134</f>
        <v>10606.037260273974</v>
      </c>
      <c r="L337" s="237">
        <f t="shared" si="162"/>
        <v>11221.187421369865</v>
      </c>
      <c r="M337" s="237">
        <f t="shared" si="162"/>
        <v>12063.564739192689</v>
      </c>
      <c r="N337" s="237">
        <f t="shared" si="162"/>
        <v>12836.37509119827</v>
      </c>
      <c r="O337" s="237">
        <f t="shared" si="162"/>
        <v>13660.267823534707</v>
      </c>
      <c r="P337" s="237">
        <f t="shared" si="162"/>
        <v>14536.376082199829</v>
      </c>
    </row>
    <row r="338" spans="2:16" x14ac:dyDescent="0.3">
      <c r="C338" s="227" t="s">
        <v>161</v>
      </c>
      <c r="D338" s="227"/>
      <c r="E338" s="228" t="s">
        <v>505</v>
      </c>
      <c r="F338" s="238">
        <f>'Raw Data'!E55+'Raw Data'!E56</f>
        <v>657</v>
      </c>
      <c r="G338" s="238">
        <f>'Raw Data'!F55+'Raw Data'!F56</f>
        <v>820</v>
      </c>
      <c r="H338" s="238">
        <f>'Raw Data'!G55+'Raw Data'!G56</f>
        <v>776</v>
      </c>
      <c r="I338" s="238">
        <f>'Raw Data'!H55+'Raw Data'!H56</f>
        <v>914</v>
      </c>
      <c r="J338" s="237">
        <f>J135</f>
        <v>1157.7241790965213</v>
      </c>
      <c r="K338" s="237">
        <f t="shared" ref="K338:P338" si="163">K135</f>
        <v>1060.6037260273974</v>
      </c>
      <c r="L338" s="237">
        <f t="shared" si="163"/>
        <v>1122.1187421369864</v>
      </c>
      <c r="M338" s="237">
        <f t="shared" si="163"/>
        <v>1206.3564739192689</v>
      </c>
      <c r="N338" s="237">
        <f t="shared" si="163"/>
        <v>1283.637509119827</v>
      </c>
      <c r="O338" s="237">
        <f t="shared" si="163"/>
        <v>1366.0267823534705</v>
      </c>
      <c r="P338" s="237">
        <f t="shared" si="163"/>
        <v>1453.6376082199829</v>
      </c>
    </row>
    <row r="339" spans="2:16" x14ac:dyDescent="0.3">
      <c r="C339" s="226" t="s">
        <v>162</v>
      </c>
      <c r="D339" s="226"/>
      <c r="E339" s="231" t="s">
        <v>505</v>
      </c>
      <c r="F339" s="232">
        <f>SUM(F334:F338)</f>
        <v>21781</v>
      </c>
      <c r="G339" s="232">
        <f>SUM(G334:G338)</f>
        <v>21244</v>
      </c>
      <c r="H339" s="232">
        <f>SUM(H334:H338)</f>
        <v>24372</v>
      </c>
      <c r="I339" s="232">
        <f>SUM(I334:I338)</f>
        <v>28841</v>
      </c>
      <c r="J339" s="232">
        <f>SUM(J334:J338)</f>
        <v>95301.439912085189</v>
      </c>
      <c r="K339" s="232">
        <f t="shared" ref="K339:P339" si="164">SUM(K334:K338)</f>
        <v>164293.85847193055</v>
      </c>
      <c r="L339" s="232">
        <f t="shared" si="164"/>
        <v>197949.8558643896</v>
      </c>
      <c r="M339" s="232">
        <f t="shared" si="164"/>
        <v>221098.25434780205</v>
      </c>
      <c r="N339" s="232">
        <f t="shared" si="164"/>
        <v>249527.68920032977</v>
      </c>
      <c r="O339" s="232">
        <f t="shared" si="164"/>
        <v>277126.68162999977</v>
      </c>
      <c r="P339" s="232">
        <f t="shared" si="164"/>
        <v>303414.50970311451</v>
      </c>
    </row>
    <row r="340" spans="2:16" ht="6" customHeight="1" x14ac:dyDescent="0.3"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</row>
    <row r="341" spans="2:16" x14ac:dyDescent="0.3">
      <c r="B341" s="226" t="s">
        <v>552</v>
      </c>
    </row>
    <row r="342" spans="2:16" x14ac:dyDescent="0.3">
      <c r="C342" s="227" t="s">
        <v>163</v>
      </c>
      <c r="D342" s="227"/>
      <c r="E342" s="228" t="s">
        <v>505</v>
      </c>
      <c r="F342" s="238">
        <f>'Raw Data'!E59</f>
        <v>1647</v>
      </c>
      <c r="G342" s="238">
        <f>'Raw Data'!F59</f>
        <v>844</v>
      </c>
      <c r="H342" s="238">
        <f>'Raw Data'!G59</f>
        <v>1046</v>
      </c>
      <c r="I342" s="238">
        <f>'Raw Data'!H59</f>
        <v>1629</v>
      </c>
      <c r="J342" s="238">
        <f>'Raw Data'!M59</f>
        <v>4106</v>
      </c>
      <c r="K342" s="237">
        <f>J342</f>
        <v>4106</v>
      </c>
      <c r="L342" s="237">
        <f t="shared" ref="L342:P342" si="165">K342</f>
        <v>4106</v>
      </c>
      <c r="M342" s="237">
        <f t="shared" si="165"/>
        <v>4106</v>
      </c>
      <c r="N342" s="237">
        <f t="shared" si="165"/>
        <v>4106</v>
      </c>
      <c r="O342" s="237">
        <f t="shared" si="165"/>
        <v>4106</v>
      </c>
      <c r="P342" s="237">
        <f t="shared" si="165"/>
        <v>4106</v>
      </c>
    </row>
    <row r="343" spans="2:16" x14ac:dyDescent="0.3">
      <c r="C343" s="227" t="s">
        <v>553</v>
      </c>
      <c r="D343" s="227"/>
      <c r="E343" s="228" t="s">
        <v>505</v>
      </c>
      <c r="F343" s="238">
        <f>'Raw Data'!E60</f>
        <v>38549</v>
      </c>
      <c r="G343" s="238">
        <f>'Raw Data'!F60</f>
        <v>37928</v>
      </c>
      <c r="H343" s="238">
        <f>'Raw Data'!G60</f>
        <v>39749</v>
      </c>
      <c r="I343" s="238">
        <f>'Raw Data'!H60</f>
        <v>46590</v>
      </c>
      <c r="J343" s="237">
        <f>J109</f>
        <v>64525.666666666664</v>
      </c>
      <c r="K343" s="237">
        <f t="shared" ref="K343:P343" si="166">K109</f>
        <v>87136.089089301793</v>
      </c>
      <c r="L343" s="237">
        <f t="shared" si="166"/>
        <v>102751.80735444326</v>
      </c>
      <c r="M343" s="237">
        <f t="shared" si="166"/>
        <v>110459.15923013534</v>
      </c>
      <c r="N343" s="237">
        <f t="shared" si="166"/>
        <v>114761.21910628965</v>
      </c>
      <c r="O343" s="237">
        <f t="shared" si="166"/>
        <v>116166.81541335788</v>
      </c>
      <c r="P343" s="237">
        <f t="shared" si="166"/>
        <v>114747.92338604908</v>
      </c>
    </row>
    <row r="344" spans="2:16" x14ac:dyDescent="0.3">
      <c r="C344" s="227" t="s">
        <v>554</v>
      </c>
      <c r="D344" s="227"/>
      <c r="E344" s="228" t="s">
        <v>505</v>
      </c>
      <c r="F344" s="238">
        <f>'Raw Data'!E62+'Raw Data'!E64</f>
        <v>1649</v>
      </c>
      <c r="G344" s="238">
        <f>'Raw Data'!F62+'Raw Data'!F64</f>
        <v>1554</v>
      </c>
      <c r="H344" s="238">
        <f>'Raw Data'!G62+'Raw Data'!G64</f>
        <v>1566</v>
      </c>
      <c r="I344" s="238">
        <f>'Raw Data'!H62+'Raw Data'!H64</f>
        <v>1603</v>
      </c>
      <c r="J344" s="238">
        <f>'Raw Data'!M64+'Raw Data'!M62</f>
        <v>1623</v>
      </c>
      <c r="K344" s="237">
        <f>J344</f>
        <v>1623</v>
      </c>
      <c r="L344" s="237">
        <f t="shared" ref="L344:P344" si="167">K344</f>
        <v>1623</v>
      </c>
      <c r="M344" s="237">
        <f t="shared" si="167"/>
        <v>1623</v>
      </c>
      <c r="N344" s="237">
        <f t="shared" si="167"/>
        <v>1623</v>
      </c>
      <c r="O344" s="237">
        <f t="shared" si="167"/>
        <v>1623</v>
      </c>
      <c r="P344" s="237">
        <f t="shared" si="167"/>
        <v>1623</v>
      </c>
    </row>
    <row r="345" spans="2:16" x14ac:dyDescent="0.3">
      <c r="C345" s="227" t="s">
        <v>167</v>
      </c>
      <c r="D345" s="227"/>
      <c r="E345" s="228" t="s">
        <v>505</v>
      </c>
      <c r="F345" s="238">
        <f>'Raw Data'!E61+'Raw Data'!E63+'Raw Data'!E65</f>
        <v>2657</v>
      </c>
      <c r="G345" s="238">
        <f>'Raw Data'!F61+'Raw Data'!F63+'Raw Data'!F65</f>
        <v>2684</v>
      </c>
      <c r="H345" s="238">
        <f>'Raw Data'!G61+'Raw Data'!G63+'Raw Data'!G65</f>
        <v>2683</v>
      </c>
      <c r="I345" s="238">
        <f>'Raw Data'!H61+'Raw Data'!H63+'Raw Data'!H65</f>
        <v>4135</v>
      </c>
      <c r="J345" s="238">
        <f>'Raw Data'!M61+'Raw Data'!M65+Schedules!J169</f>
        <v>5220</v>
      </c>
      <c r="K345" s="237">
        <f>J345+(K169-J169)</f>
        <v>5220</v>
      </c>
      <c r="L345" s="237">
        <f t="shared" ref="L345:P345" si="168">K345+(L169-K169)</f>
        <v>5220</v>
      </c>
      <c r="M345" s="237">
        <f t="shared" si="168"/>
        <v>5220</v>
      </c>
      <c r="N345" s="237">
        <f t="shared" si="168"/>
        <v>5220</v>
      </c>
      <c r="O345" s="237">
        <f t="shared" si="168"/>
        <v>5220</v>
      </c>
      <c r="P345" s="237">
        <f t="shared" si="168"/>
        <v>5220</v>
      </c>
    </row>
    <row r="346" spans="2:16" x14ac:dyDescent="0.3">
      <c r="C346" s="226" t="s">
        <v>282</v>
      </c>
      <c r="D346" s="226"/>
      <c r="E346" s="231" t="s">
        <v>505</v>
      </c>
      <c r="F346" s="232">
        <f>SUM(F342:F345)</f>
        <v>44502</v>
      </c>
      <c r="G346" s="232">
        <f>SUM(G342:G345)</f>
        <v>43010</v>
      </c>
      <c r="H346" s="232">
        <f>SUM(H342:H345)</f>
        <v>45044</v>
      </c>
      <c r="I346" s="232">
        <f>SUM(I342:I345)</f>
        <v>53957</v>
      </c>
      <c r="J346" s="232">
        <f>SUM(J342:J345)</f>
        <v>75474.666666666657</v>
      </c>
      <c r="K346" s="232">
        <f t="shared" ref="K346:P346" si="169">SUM(K342:K345)</f>
        <v>98085.089089301793</v>
      </c>
      <c r="L346" s="232">
        <f t="shared" si="169"/>
        <v>113700.80735444326</v>
      </c>
      <c r="M346" s="232">
        <f t="shared" si="169"/>
        <v>121408.15923013534</v>
      </c>
      <c r="N346" s="232">
        <f t="shared" si="169"/>
        <v>125710.21910628965</v>
      </c>
      <c r="O346" s="232">
        <f t="shared" si="169"/>
        <v>127115.81541335788</v>
      </c>
      <c r="P346" s="232">
        <f t="shared" si="169"/>
        <v>125696.92338604908</v>
      </c>
    </row>
    <row r="347" spans="2:16" x14ac:dyDescent="0.3">
      <c r="C347" s="226" t="s">
        <v>168</v>
      </c>
      <c r="D347" s="226"/>
      <c r="E347" s="231" t="s">
        <v>505</v>
      </c>
      <c r="F347" s="235">
        <f>F339+F346</f>
        <v>66283</v>
      </c>
      <c r="G347" s="235">
        <f>G339+G346</f>
        <v>64254</v>
      </c>
      <c r="H347" s="235">
        <f>H339+H346</f>
        <v>69416</v>
      </c>
      <c r="I347" s="235">
        <f>I339+I346</f>
        <v>82798</v>
      </c>
      <c r="J347" s="235">
        <f>J339+J346</f>
        <v>170776.10657875185</v>
      </c>
      <c r="K347" s="235">
        <f t="shared" ref="K347:P347" si="170">K339+K346</f>
        <v>262378.94756123237</v>
      </c>
      <c r="L347" s="235">
        <f t="shared" si="170"/>
        <v>311650.66321883287</v>
      </c>
      <c r="M347" s="235">
        <f t="shared" si="170"/>
        <v>342506.4135779374</v>
      </c>
      <c r="N347" s="235">
        <f t="shared" si="170"/>
        <v>375237.90830661939</v>
      </c>
      <c r="O347" s="235">
        <f t="shared" si="170"/>
        <v>404242.49704335764</v>
      </c>
      <c r="P347" s="235">
        <f t="shared" si="170"/>
        <v>429111.43308916362</v>
      </c>
    </row>
    <row r="348" spans="2:16" ht="6" customHeight="1" x14ac:dyDescent="0.3"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</row>
    <row r="349" spans="2:16" x14ac:dyDescent="0.3">
      <c r="B349" s="226" t="s">
        <v>555</v>
      </c>
    </row>
    <row r="350" spans="2:16" x14ac:dyDescent="0.3">
      <c r="C350" s="227" t="s">
        <v>169</v>
      </c>
      <c r="D350" s="227"/>
      <c r="E350" s="228" t="s">
        <v>505</v>
      </c>
      <c r="F350" s="238">
        <f>'Raw Data'!E70</f>
        <v>6090</v>
      </c>
      <c r="G350" s="238">
        <f>'Raw Data'!F70</f>
        <v>3958</v>
      </c>
      <c r="H350" s="238">
        <f>'Raw Data'!G70</f>
        <v>7299</v>
      </c>
      <c r="I350" s="238">
        <f>'Raw Data'!H70</f>
        <v>9649</v>
      </c>
      <c r="J350" s="237">
        <f>J136</f>
        <v>16000.923404948446</v>
      </c>
      <c r="K350" s="237">
        <f t="shared" ref="K350:P350" si="171">K136</f>
        <v>9050.4851287671245</v>
      </c>
      <c r="L350" s="237">
        <f t="shared" si="171"/>
        <v>9575.4132662356169</v>
      </c>
      <c r="M350" s="237">
        <f t="shared" si="171"/>
        <v>10294.24191077776</v>
      </c>
      <c r="N350" s="237">
        <f t="shared" si="171"/>
        <v>10953.706744489189</v>
      </c>
      <c r="O350" s="237">
        <f t="shared" si="171"/>
        <v>11656.761876082948</v>
      </c>
      <c r="P350" s="237">
        <f t="shared" si="171"/>
        <v>12404.374256810521</v>
      </c>
    </row>
    <row r="351" spans="2:16" x14ac:dyDescent="0.3">
      <c r="C351" s="227" t="s">
        <v>443</v>
      </c>
      <c r="D351" s="227"/>
      <c r="E351" s="228" t="s">
        <v>505</v>
      </c>
      <c r="F351" s="238">
        <f>'Raw Data'!E71+'Raw Data'!E75</f>
        <v>6906</v>
      </c>
      <c r="G351" s="238">
        <f>'Raw Data'!F71+'Raw Data'!F75</f>
        <v>13330</v>
      </c>
      <c r="H351" s="238">
        <f>'Raw Data'!G71+'Raw Data'!G75</f>
        <v>13397</v>
      </c>
      <c r="I351" s="238">
        <f>'Raw Data'!H71+'Raw Data'!H75</f>
        <v>14577</v>
      </c>
      <c r="J351" s="237">
        <f>J214</f>
        <v>5722</v>
      </c>
      <c r="K351" s="237">
        <f t="shared" ref="K351:P351" si="172">K214</f>
        <v>5722</v>
      </c>
      <c r="L351" s="237">
        <f t="shared" si="172"/>
        <v>5722</v>
      </c>
      <c r="M351" s="237">
        <f t="shared" si="172"/>
        <v>5722</v>
      </c>
      <c r="N351" s="237">
        <f t="shared" si="172"/>
        <v>5722</v>
      </c>
      <c r="O351" s="237">
        <f t="shared" si="172"/>
        <v>5461</v>
      </c>
      <c r="P351" s="237">
        <f t="shared" si="172"/>
        <v>4465</v>
      </c>
    </row>
    <row r="352" spans="2:16" x14ac:dyDescent="0.3">
      <c r="C352" s="227" t="s">
        <v>171</v>
      </c>
      <c r="D352" s="227"/>
      <c r="E352" s="228" t="s">
        <v>505</v>
      </c>
      <c r="F352" s="238">
        <f>'Raw Data'!E72</f>
        <v>1346</v>
      </c>
      <c r="G352" s="238">
        <f>'Raw Data'!F72</f>
        <v>529</v>
      </c>
      <c r="H352" s="238">
        <f>'Raw Data'!G72</f>
        <v>1518</v>
      </c>
      <c r="I352" s="238">
        <f>'Raw Data'!H72</f>
        <v>1245</v>
      </c>
      <c r="J352" s="237">
        <f>J137</f>
        <v>4135.0281738033973</v>
      </c>
      <c r="K352" s="237">
        <f t="shared" ref="K352:P352" si="173">K137</f>
        <v>6385.4298844224331</v>
      </c>
      <c r="L352" s="237">
        <f t="shared" si="173"/>
        <v>4038.7844018971891</v>
      </c>
      <c r="M352" s="237">
        <f t="shared" si="173"/>
        <v>3067.7011037563188</v>
      </c>
      <c r="N352" s="237">
        <f t="shared" si="173"/>
        <v>3193.2613508157201</v>
      </c>
      <c r="O352" s="237">
        <f t="shared" si="173"/>
        <v>3114.3295085605309</v>
      </c>
      <c r="P352" s="237">
        <f t="shared" si="173"/>
        <v>3037.4031369204067</v>
      </c>
    </row>
    <row r="353" spans="2:16" x14ac:dyDescent="0.3">
      <c r="C353" s="227" t="s">
        <v>175</v>
      </c>
      <c r="D353" s="227"/>
      <c r="E353" s="228" t="s">
        <v>505</v>
      </c>
      <c r="F353" s="238">
        <f>'Raw Data'!E76+'Raw Data'!E77+'Raw Data'!E78</f>
        <v>2034</v>
      </c>
      <c r="G353" s="238">
        <f>'Raw Data'!F76+'Raw Data'!F77+'Raw Data'!F78</f>
        <v>2317</v>
      </c>
      <c r="H353" s="238">
        <f>'Raw Data'!G76+'Raw Data'!G77+'Raw Data'!G78</f>
        <v>2071</v>
      </c>
      <c r="I353" s="238">
        <f>'Raw Data'!H76+'Raw Data'!H77+'Raw Data'!H78</f>
        <v>3162</v>
      </c>
      <c r="J353" s="238">
        <f>'Raw Data'!M76+'Raw Data'!M77+'Raw Data'!M78</f>
        <v>8760</v>
      </c>
      <c r="K353" s="237">
        <f>J353</f>
        <v>8760</v>
      </c>
      <c r="L353" s="237">
        <f t="shared" ref="L353:P353" si="174">K353</f>
        <v>8760</v>
      </c>
      <c r="M353" s="237">
        <f t="shared" si="174"/>
        <v>8760</v>
      </c>
      <c r="N353" s="237">
        <f t="shared" si="174"/>
        <v>8760</v>
      </c>
      <c r="O353" s="237">
        <f t="shared" si="174"/>
        <v>8760</v>
      </c>
      <c r="P353" s="237">
        <f t="shared" si="174"/>
        <v>8760</v>
      </c>
    </row>
    <row r="354" spans="2:16" x14ac:dyDescent="0.3">
      <c r="C354" s="226" t="s">
        <v>176</v>
      </c>
      <c r="D354" s="226"/>
      <c r="E354" s="231" t="s">
        <v>505</v>
      </c>
      <c r="F354" s="232">
        <f t="shared" ref="F354:K354" si="175">SUM(F350:F353)</f>
        <v>16376</v>
      </c>
      <c r="G354" s="232">
        <f t="shared" si="175"/>
        <v>20134</v>
      </c>
      <c r="H354" s="232">
        <f t="shared" si="175"/>
        <v>24285</v>
      </c>
      <c r="I354" s="232">
        <f t="shared" si="175"/>
        <v>28633</v>
      </c>
      <c r="J354" s="232">
        <f t="shared" si="175"/>
        <v>34617.951578751839</v>
      </c>
      <c r="K354" s="232">
        <f t="shared" si="175"/>
        <v>29917.915013189559</v>
      </c>
      <c r="L354" s="232">
        <f t="shared" ref="L354:P354" si="176">SUM(L350:L353)</f>
        <v>28096.197668132805</v>
      </c>
      <c r="M354" s="232">
        <f t="shared" si="176"/>
        <v>27843.943014534081</v>
      </c>
      <c r="N354" s="232">
        <f t="shared" si="176"/>
        <v>28628.968095304906</v>
      </c>
      <c r="O354" s="232">
        <f t="shared" si="176"/>
        <v>28992.091384643481</v>
      </c>
      <c r="P354" s="232">
        <f t="shared" si="176"/>
        <v>28666.777393730928</v>
      </c>
    </row>
    <row r="355" spans="2:16" ht="6" customHeight="1" x14ac:dyDescent="0.3"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</row>
    <row r="356" spans="2:16" x14ac:dyDescent="0.3">
      <c r="B356" s="226" t="s">
        <v>556</v>
      </c>
    </row>
    <row r="357" spans="2:16" x14ac:dyDescent="0.3">
      <c r="C357" s="227" t="s">
        <v>557</v>
      </c>
      <c r="D357" s="227"/>
      <c r="E357" s="228" t="s">
        <v>505</v>
      </c>
      <c r="F357" s="238">
        <f>'Raw Data'!E89</f>
        <v>49907</v>
      </c>
      <c r="G357" s="238">
        <f>'Raw Data'!F89</f>
        <v>44120</v>
      </c>
      <c r="H357" s="238">
        <f>'Raw Data'!G89</f>
        <v>45131</v>
      </c>
      <c r="I357" s="238">
        <f>'Raw Data'!H89</f>
        <v>54165</v>
      </c>
      <c r="J357" s="237">
        <f>J246</f>
        <v>136158.155</v>
      </c>
      <c r="K357" s="237">
        <f t="shared" ref="K357:P357" si="177">K246</f>
        <v>232461.0325480428</v>
      </c>
      <c r="L357" s="237">
        <f t="shared" si="177"/>
        <v>283554.46555070009</v>
      </c>
      <c r="M357" s="237">
        <f t="shared" si="177"/>
        <v>314662.47056340333</v>
      </c>
      <c r="N357" s="237">
        <f t="shared" si="177"/>
        <v>346608.94021131453</v>
      </c>
      <c r="O357" s="237">
        <f t="shared" si="177"/>
        <v>375250.40565871418</v>
      </c>
      <c r="P357" s="237">
        <f t="shared" si="177"/>
        <v>400444.65569543274</v>
      </c>
    </row>
    <row r="358" spans="2:16" x14ac:dyDescent="0.3">
      <c r="C358" s="226" t="s">
        <v>177</v>
      </c>
      <c r="D358" s="226"/>
      <c r="E358" s="231" t="s">
        <v>505</v>
      </c>
      <c r="F358" s="235">
        <f>F354+F357</f>
        <v>66283</v>
      </c>
      <c r="G358" s="235">
        <f>G354+G357</f>
        <v>64254</v>
      </c>
      <c r="H358" s="235">
        <f>H354+H357</f>
        <v>69416</v>
      </c>
      <c r="I358" s="235">
        <f>I354+I357</f>
        <v>82798</v>
      </c>
      <c r="J358" s="235">
        <f>J354+J357</f>
        <v>170776.10657875185</v>
      </c>
      <c r="K358" s="235">
        <f t="shared" ref="K358:P358" si="178">K354+K357</f>
        <v>262378.94756123237</v>
      </c>
      <c r="L358" s="235">
        <f t="shared" si="178"/>
        <v>311650.66321883287</v>
      </c>
      <c r="M358" s="235">
        <f t="shared" si="178"/>
        <v>342506.4135779374</v>
      </c>
      <c r="N358" s="235">
        <f t="shared" si="178"/>
        <v>375237.90830661944</v>
      </c>
      <c r="O358" s="235">
        <f t="shared" si="178"/>
        <v>404242.49704335764</v>
      </c>
      <c r="P358" s="235">
        <f t="shared" si="178"/>
        <v>429111.43308916368</v>
      </c>
    </row>
    <row r="359" spans="2:16" ht="6" customHeight="1" x14ac:dyDescent="0.3"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</row>
    <row r="360" spans="2:16" x14ac:dyDescent="0.3">
      <c r="B360" s="226" t="s">
        <v>558</v>
      </c>
    </row>
    <row r="361" spans="2:16" x14ac:dyDescent="0.3">
      <c r="C361" s="227" t="s">
        <v>559</v>
      </c>
      <c r="D361" s="227"/>
      <c r="E361" s="228" t="s">
        <v>505</v>
      </c>
      <c r="F361" s="237">
        <f t="shared" ref="F361:K361" si="179">F347-F354-F357</f>
        <v>0</v>
      </c>
      <c r="G361" s="237">
        <f t="shared" si="179"/>
        <v>0</v>
      </c>
      <c r="H361" s="237">
        <f t="shared" si="179"/>
        <v>0</v>
      </c>
      <c r="I361" s="237">
        <f t="shared" si="179"/>
        <v>0</v>
      </c>
      <c r="J361" s="237">
        <f t="shared" si="179"/>
        <v>0</v>
      </c>
      <c r="K361" s="237">
        <f t="shared" si="179"/>
        <v>0</v>
      </c>
      <c r="L361" s="237">
        <f t="shared" ref="L361:P361" si="180">L347-L354-L357</f>
        <v>0</v>
      </c>
      <c r="M361" s="237">
        <f t="shared" si="180"/>
        <v>0</v>
      </c>
      <c r="N361" s="237">
        <f t="shared" si="180"/>
        <v>0</v>
      </c>
      <c r="O361" s="237">
        <f t="shared" si="180"/>
        <v>0</v>
      </c>
      <c r="P361" s="237">
        <f t="shared" si="180"/>
        <v>0</v>
      </c>
    </row>
    <row r="362" spans="2:16" ht="12.75" customHeight="1" x14ac:dyDescent="0.3">
      <c r="B362" s="236"/>
      <c r="C362" s="236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</row>
  </sheetData>
  <phoneticPr fontId="41" type="noConversion"/>
  <pageMargins left="0.25" right="0.25" top="0.25" bottom="0.5" header="0.3" footer="0.3"/>
  <pageSetup fitToHeight="0" orientation="landscape"/>
  <headerFooter>
    <oddFooter>&amp;CPage &amp;P of &amp;N</oddFooter>
  </headerFooter>
  <ignoredErrors>
    <ignoredError sqref="K85 L85:P85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E942-3B6B-49DB-9222-1905A0C8AF05}">
  <sheetPr>
    <tabColor theme="2" tint="-0.749992370372631"/>
    <pageSetUpPr fitToPage="1"/>
  </sheetPr>
  <dimension ref="B1:S69"/>
  <sheetViews>
    <sheetView showGridLines="0" topLeftCell="A28" workbookViewId="0">
      <selection activeCell="K65" sqref="K65"/>
    </sheetView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34.77734375" customWidth="1"/>
    <col min="5" max="5" width="9.6640625" customWidth="1"/>
    <col min="6" max="16" width="11.109375" customWidth="1"/>
  </cols>
  <sheetData>
    <row r="1" spans="2:16" ht="12.75" customHeight="1" x14ac:dyDescent="0.3">
      <c r="P1" s="219"/>
    </row>
    <row r="2" spans="2:16" ht="22.8" customHeight="1" x14ac:dyDescent="0.4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2:16" ht="17.399999999999999" customHeight="1" x14ac:dyDescent="0.35">
      <c r="B3" s="221" t="s">
        <v>676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2:16" ht="3" customHeight="1" x14ac:dyDescent="0.35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</row>
    <row r="5" spans="2:16" ht="12.75" customHeight="1" x14ac:dyDescent="0.3"/>
    <row r="6" spans="2:16" x14ac:dyDescent="0.3">
      <c r="F6" s="223" t="s">
        <v>495</v>
      </c>
      <c r="G6" s="224"/>
      <c r="H6" s="224"/>
      <c r="I6" s="224"/>
      <c r="J6" s="223" t="s">
        <v>126</v>
      </c>
      <c r="K6" s="224"/>
      <c r="L6" s="224"/>
      <c r="M6" s="224"/>
      <c r="N6" s="224"/>
      <c r="O6" s="224"/>
      <c r="P6" s="224"/>
    </row>
    <row r="7" spans="2:16" x14ac:dyDescent="0.3">
      <c r="E7" s="225" t="s">
        <v>107</v>
      </c>
      <c r="F7" s="264" t="str">
        <f>'Raw Data'!E144</f>
        <v>FY2022</v>
      </c>
      <c r="G7" s="264" t="str">
        <f>'Raw Data'!F144</f>
        <v>FY2023</v>
      </c>
      <c r="H7" s="264" t="str">
        <f>'Raw Data'!G144</f>
        <v>FY2024</v>
      </c>
      <c r="I7" s="264" t="str">
        <f>'Raw Data'!H144</f>
        <v>FY2025</v>
      </c>
      <c r="J7" s="264" t="s">
        <v>82</v>
      </c>
      <c r="K7" s="264" t="str">
        <f>Assumptions!K24</f>
        <v>FY2027E</v>
      </c>
      <c r="L7" s="264" t="str">
        <f>Assumptions!L24</f>
        <v>FY2028E</v>
      </c>
      <c r="M7" s="264" t="str">
        <f>Assumptions!M24</f>
        <v>FY2029E</v>
      </c>
      <c r="N7" s="264" t="str">
        <f>Assumptions!N24</f>
        <v>FY2030E</v>
      </c>
      <c r="O7" s="264" t="str">
        <f>Assumptions!O24</f>
        <v>FY2031E</v>
      </c>
      <c r="P7" s="264" t="str">
        <f>Assumptions!P24</f>
        <v>FY2032E</v>
      </c>
    </row>
    <row r="8" spans="2:16" ht="6" customHeight="1" x14ac:dyDescent="0.3"/>
    <row r="9" spans="2:16" x14ac:dyDescent="0.3">
      <c r="B9" s="226"/>
      <c r="C9" s="246" t="s">
        <v>720</v>
      </c>
    </row>
    <row r="10" spans="2:16" x14ac:dyDescent="0.3">
      <c r="C10" s="227"/>
      <c r="D10" s="227" t="s">
        <v>89</v>
      </c>
      <c r="E10" s="228" t="s">
        <v>505</v>
      </c>
      <c r="F10" s="238">
        <f>Schedules!F259</f>
        <v>30758</v>
      </c>
      <c r="G10" s="238">
        <f>Schedules!G259</f>
        <v>15540</v>
      </c>
      <c r="H10" s="238">
        <f>Schedules!H259</f>
        <v>25111</v>
      </c>
      <c r="I10" s="238">
        <f>Schedules!I259</f>
        <v>37378</v>
      </c>
      <c r="J10" s="238">
        <f>Schedules!J259</f>
        <v>128959</v>
      </c>
      <c r="K10" s="238">
        <f>Schedules!K259</f>
        <v>145667.61923838675</v>
      </c>
      <c r="L10" s="238">
        <f>Schedules!L259</f>
        <v>92134.769168279629</v>
      </c>
      <c r="M10" s="238">
        <f>Schedules!M259</f>
        <v>69981.931429441029</v>
      </c>
      <c r="N10" s="238">
        <f>Schedules!N259</f>
        <v>72846.274565483618</v>
      </c>
      <c r="O10" s="238">
        <f>Schedules!O259</f>
        <v>71045.641914037114</v>
      </c>
      <c r="P10" s="238">
        <f>Schedules!P259</f>
        <v>69290.759060996774</v>
      </c>
    </row>
    <row r="11" spans="2:16" x14ac:dyDescent="0.3">
      <c r="C11" s="227"/>
      <c r="D11" s="227" t="s">
        <v>721</v>
      </c>
      <c r="E11" s="228" t="s">
        <v>529</v>
      </c>
      <c r="F11" s="233"/>
      <c r="G11" s="233">
        <f>G10/F10 - 1</f>
        <v>-0.4947655894401457</v>
      </c>
      <c r="H11" s="233">
        <f t="shared" ref="H11:P11" si="0">H10/G10 - 1</f>
        <v>0.61589446589446584</v>
      </c>
      <c r="I11" s="233">
        <f t="shared" si="0"/>
        <v>0.48851101111066852</v>
      </c>
      <c r="J11" s="233">
        <f t="shared" si="0"/>
        <v>2.450131093156402</v>
      </c>
      <c r="K11" s="233">
        <f t="shared" si="0"/>
        <v>0.12956535983054107</v>
      </c>
      <c r="L11" s="233">
        <f t="shared" si="0"/>
        <v>-0.36749999999999994</v>
      </c>
      <c r="M11" s="233">
        <f t="shared" si="0"/>
        <v>-0.24043949899497252</v>
      </c>
      <c r="N11" s="233">
        <f t="shared" si="0"/>
        <v>4.0929752545205922E-2</v>
      </c>
      <c r="O11" s="233">
        <f t="shared" si="0"/>
        <v>-2.4718253091005504E-2</v>
      </c>
      <c r="P11" s="233">
        <f t="shared" si="0"/>
        <v>-2.4700781156480889E-2</v>
      </c>
    </row>
    <row r="12" spans="2:16" ht="6" customHeight="1" x14ac:dyDescent="0.3"/>
    <row r="13" spans="2:16" x14ac:dyDescent="0.3">
      <c r="C13" s="226"/>
      <c r="D13" s="226" t="s">
        <v>93</v>
      </c>
      <c r="E13" s="231" t="s">
        <v>505</v>
      </c>
      <c r="F13" s="232">
        <f>F15+F22</f>
        <v>16818</v>
      </c>
      <c r="G13" s="232">
        <f t="shared" ref="G13:P13" si="1">G15+G22</f>
        <v>2011</v>
      </c>
      <c r="H13" s="232">
        <f t="shared" si="1"/>
        <v>9084</v>
      </c>
      <c r="I13" s="232">
        <f t="shared" si="1"/>
        <v>18122</v>
      </c>
      <c r="J13" s="232">
        <f t="shared" si="1"/>
        <v>105878.33333333333</v>
      </c>
      <c r="K13" s="232">
        <f t="shared" si="1"/>
        <v>123447.35486083373</v>
      </c>
      <c r="L13" s="232">
        <f t="shared" si="1"/>
        <v>70878.558869400164</v>
      </c>
      <c r="M13" s="232">
        <f t="shared" si="1"/>
        <v>48617.832269564133</v>
      </c>
      <c r="N13" s="232">
        <f t="shared" si="1"/>
        <v>51159.388944965242</v>
      </c>
      <c r="O13" s="232">
        <f t="shared" si="1"/>
        <v>48751.45181652988</v>
      </c>
      <c r="P13" s="232">
        <f t="shared" si="1"/>
        <v>46116.363517219943</v>
      </c>
    </row>
    <row r="14" spans="2:16" x14ac:dyDescent="0.3">
      <c r="C14" s="227"/>
      <c r="D14" s="227" t="s">
        <v>722</v>
      </c>
      <c r="E14" s="228" t="s">
        <v>529</v>
      </c>
      <c r="F14" s="233">
        <f>F13/F10</f>
        <v>0.54678457637037514</v>
      </c>
      <c r="G14" s="233">
        <f t="shared" ref="G14:P14" si="2">G13/G10</f>
        <v>0.12940797940797941</v>
      </c>
      <c r="H14" s="233">
        <f t="shared" si="2"/>
        <v>0.36175381306996934</v>
      </c>
      <c r="I14" s="233">
        <f t="shared" si="2"/>
        <v>0.4848306490448927</v>
      </c>
      <c r="J14" s="233">
        <f t="shared" si="2"/>
        <v>0.82102321926607158</v>
      </c>
      <c r="K14" s="233">
        <f t="shared" si="2"/>
        <v>0.84745913680933238</v>
      </c>
      <c r="L14" s="233">
        <f t="shared" si="2"/>
        <v>0.76929219565247897</v>
      </c>
      <c r="M14" s="233">
        <f t="shared" si="2"/>
        <v>0.69471978375708088</v>
      </c>
      <c r="N14" s="233">
        <f t="shared" si="2"/>
        <v>0.70229245421434139</v>
      </c>
      <c r="O14" s="233">
        <f t="shared" si="2"/>
        <v>0.68619904758574113</v>
      </c>
      <c r="P14" s="233">
        <f t="shared" si="2"/>
        <v>0.66554853983665596</v>
      </c>
    </row>
    <row r="15" spans="2:16" x14ac:dyDescent="0.3">
      <c r="C15" s="227"/>
      <c r="D15" s="227" t="s">
        <v>723</v>
      </c>
      <c r="E15" s="228" t="s">
        <v>505</v>
      </c>
      <c r="F15" s="238">
        <f>Schedules!F271</f>
        <v>9702</v>
      </c>
      <c r="G15" s="238">
        <f>Schedules!G271</f>
        <v>-5745</v>
      </c>
      <c r="H15" s="238">
        <f>Schedules!H271</f>
        <v>1304</v>
      </c>
      <c r="I15" s="238">
        <f>Schedules!I271</f>
        <v>9770</v>
      </c>
      <c r="J15" s="238">
        <f>Schedules!J271</f>
        <v>96729</v>
      </c>
      <c r="K15" s="238">
        <f>Schedules!K271</f>
        <v>112554.22485863991</v>
      </c>
      <c r="L15" s="238">
        <f>Schedules!L271</f>
        <v>56826.881462355581</v>
      </c>
      <c r="M15" s="238">
        <f>Schedules!M271</f>
        <v>31859.500917523626</v>
      </c>
      <c r="N15" s="238">
        <f>Schedules!N271</f>
        <v>32004.948411033816</v>
      </c>
      <c r="O15" s="238">
        <f>Schedules!O271</f>
        <v>27280.351427278169</v>
      </c>
      <c r="P15" s="238">
        <f>Schedules!P271</f>
        <v>22385.847072270193</v>
      </c>
    </row>
    <row r="16" spans="2:16" x14ac:dyDescent="0.3">
      <c r="C16" s="227"/>
      <c r="D16" s="227" t="s">
        <v>724</v>
      </c>
      <c r="E16" s="228" t="s">
        <v>529</v>
      </c>
      <c r="F16" s="233">
        <f>F15/F10</f>
        <v>0.31543013199817932</v>
      </c>
      <c r="G16" s="233">
        <f t="shared" ref="G16:P16" si="3">G15/G10</f>
        <v>-0.36969111969111967</v>
      </c>
      <c r="H16" s="233">
        <f t="shared" si="3"/>
        <v>5.192943331607662E-2</v>
      </c>
      <c r="I16" s="233">
        <f t="shared" si="3"/>
        <v>0.26138370164267749</v>
      </c>
      <c r="J16" s="233">
        <f t="shared" si="3"/>
        <v>0.75007560542498009</v>
      </c>
      <c r="K16" s="233">
        <f t="shared" si="3"/>
        <v>0.77267841300024009</v>
      </c>
      <c r="L16" s="233">
        <f t="shared" si="3"/>
        <v>0.61677998409660173</v>
      </c>
      <c r="M16" s="233">
        <f t="shared" si="3"/>
        <v>0.45525323846835847</v>
      </c>
      <c r="N16" s="233">
        <f t="shared" si="3"/>
        <v>0.43934914450928642</v>
      </c>
      <c r="O16" s="233">
        <f t="shared" si="3"/>
        <v>0.3839834603829253</v>
      </c>
      <c r="P16" s="233">
        <f t="shared" si="3"/>
        <v>0.32307117681542347</v>
      </c>
    </row>
    <row r="17" spans="2:19" ht="6" customHeight="1" x14ac:dyDescent="0.3"/>
    <row r="18" spans="2:19" x14ac:dyDescent="0.3">
      <c r="B18" s="226"/>
    </row>
    <row r="19" spans="2:19" x14ac:dyDescent="0.3">
      <c r="C19" s="227"/>
      <c r="D19" s="227" t="s">
        <v>725</v>
      </c>
      <c r="E19" s="228" t="s">
        <v>529</v>
      </c>
      <c r="F19" s="233">
        <f>Schedules!F160</f>
        <v>9.2780273743600455E-2</v>
      </c>
      <c r="G19" s="233">
        <f>Schedules!G160</f>
        <v>-3.1283138918345707E-2</v>
      </c>
      <c r="H19" s="233">
        <f>Schedules!H160</f>
        <v>0.36370967741935484</v>
      </c>
      <c r="I19" s="233">
        <f>Schedules!I160</f>
        <v>0.1164284234514191</v>
      </c>
      <c r="J19" s="233">
        <f>Schedules!J160</f>
        <v>0.14388503740133077</v>
      </c>
      <c r="K19" s="233">
        <f>Schedules!K160</f>
        <v>0.15</v>
      </c>
      <c r="L19" s="233">
        <f>Schedules!L160</f>
        <v>0.15</v>
      </c>
      <c r="M19" s="233">
        <f>Schedules!M160</f>
        <v>0.15</v>
      </c>
      <c r="N19" s="233">
        <f>Schedules!N160</f>
        <v>0.15</v>
      </c>
      <c r="O19" s="233">
        <f>Schedules!O160</f>
        <v>0.15</v>
      </c>
      <c r="P19" s="233">
        <f>Schedules!P160</f>
        <v>0.15</v>
      </c>
    </row>
    <row r="20" spans="2:19" x14ac:dyDescent="0.3">
      <c r="C20" s="227"/>
      <c r="D20" s="227" t="s">
        <v>726</v>
      </c>
      <c r="E20" s="228" t="s">
        <v>505</v>
      </c>
      <c r="F20" s="237">
        <f>-F19*F15</f>
        <v>-900.15421586041157</v>
      </c>
      <c r="G20" s="237">
        <f t="shared" ref="G20:P20" si="4">-G19*G15</f>
        <v>-179.72163308589609</v>
      </c>
      <c r="H20" s="237">
        <f t="shared" si="4"/>
        <v>-474.27741935483868</v>
      </c>
      <c r="I20" s="237">
        <f t="shared" si="4"/>
        <v>-1137.5056971203646</v>
      </c>
      <c r="J20" s="237">
        <f t="shared" si="4"/>
        <v>-13917.855782793324</v>
      </c>
      <c r="K20" s="237">
        <f t="shared" si="4"/>
        <v>-16883.133728795987</v>
      </c>
      <c r="L20" s="237">
        <f t="shared" si="4"/>
        <v>-8524.0322193533375</v>
      </c>
      <c r="M20" s="237">
        <f t="shared" si="4"/>
        <v>-4778.9251376285438</v>
      </c>
      <c r="N20" s="237">
        <f t="shared" si="4"/>
        <v>-4800.7422616550721</v>
      </c>
      <c r="O20" s="237">
        <f t="shared" si="4"/>
        <v>-4092.0527140917252</v>
      </c>
      <c r="P20" s="237">
        <f t="shared" si="4"/>
        <v>-3357.8770608405289</v>
      </c>
    </row>
    <row r="21" spans="2:19" x14ac:dyDescent="0.3">
      <c r="C21" s="226"/>
      <c r="D21" s="226" t="s">
        <v>727</v>
      </c>
      <c r="E21" s="231" t="s">
        <v>505</v>
      </c>
      <c r="F21" s="232">
        <f>F15+F20</f>
        <v>8801.8457841395884</v>
      </c>
      <c r="G21" s="232">
        <f t="shared" ref="G21:P21" si="5">G15+G20</f>
        <v>-5924.7216330858964</v>
      </c>
      <c r="H21" s="232">
        <f t="shared" si="5"/>
        <v>829.72258064516132</v>
      </c>
      <c r="I21" s="232">
        <f t="shared" si="5"/>
        <v>8632.4943028796351</v>
      </c>
      <c r="J21" s="232">
        <f t="shared" si="5"/>
        <v>82811.144217206675</v>
      </c>
      <c r="K21" s="232">
        <f t="shared" si="5"/>
        <v>95671.091129843917</v>
      </c>
      <c r="L21" s="232">
        <f t="shared" si="5"/>
        <v>48302.849243002245</v>
      </c>
      <c r="M21" s="232">
        <f t="shared" si="5"/>
        <v>27080.575779895084</v>
      </c>
      <c r="N21" s="232">
        <f t="shared" si="5"/>
        <v>27204.206149378744</v>
      </c>
      <c r="O21" s="232">
        <f t="shared" si="5"/>
        <v>23188.298713186443</v>
      </c>
      <c r="P21" s="232">
        <f t="shared" si="5"/>
        <v>19027.970011429665</v>
      </c>
    </row>
    <row r="22" spans="2:19" x14ac:dyDescent="0.3">
      <c r="C22" s="227"/>
      <c r="D22" s="227" t="s">
        <v>728</v>
      </c>
      <c r="E22" s="228" t="s">
        <v>505</v>
      </c>
      <c r="F22" s="238">
        <f>Schedules!F300</f>
        <v>7116</v>
      </c>
      <c r="G22" s="238">
        <f>Schedules!G300</f>
        <v>7756</v>
      </c>
      <c r="H22" s="238">
        <f>Schedules!H300</f>
        <v>7780</v>
      </c>
      <c r="I22" s="238">
        <f>Schedules!I300</f>
        <v>8352</v>
      </c>
      <c r="J22" s="238">
        <f>Schedules!J300</f>
        <v>9149.3333333333339</v>
      </c>
      <c r="K22" s="238">
        <f>Schedules!K300</f>
        <v>10893.130002193828</v>
      </c>
      <c r="L22" s="238">
        <f>Schedules!L300</f>
        <v>14051.677407044577</v>
      </c>
      <c r="M22" s="238">
        <f>Schedules!M300</f>
        <v>16758.331352040506</v>
      </c>
      <c r="N22" s="238">
        <f>Schedules!N300</f>
        <v>19154.440533931425</v>
      </c>
      <c r="O22" s="238">
        <f>Schedules!O300</f>
        <v>21471.100389251707</v>
      </c>
      <c r="P22" s="238">
        <f>Schedules!P300</f>
        <v>23730.516444949753</v>
      </c>
    </row>
    <row r="23" spans="2:19" x14ac:dyDescent="0.3">
      <c r="C23" s="227"/>
      <c r="D23" s="227" t="s">
        <v>729</v>
      </c>
      <c r="E23" s="228" t="s">
        <v>505</v>
      </c>
      <c r="F23" s="238">
        <f>Schedules!F307+Schedules!F308</f>
        <v>-11952</v>
      </c>
      <c r="G23" s="238">
        <f>Schedules!G307+Schedules!G308</f>
        <v>-6966</v>
      </c>
      <c r="H23" s="238">
        <f>Schedules!H307+Schedules!H308</f>
        <v>-8071</v>
      </c>
      <c r="I23" s="238">
        <f>Schedules!I307+Schedules!I308</f>
        <v>-13852</v>
      </c>
      <c r="J23" s="238">
        <f>Schedules!J307+Schedules!J308</f>
        <v>-27000</v>
      </c>
      <c r="K23" s="238">
        <f>Schedules!K307+Schedules!K308</f>
        <v>-33503.552424828951</v>
      </c>
      <c r="L23" s="238">
        <f>Schedules!L307+Schedules!L308</f>
        <v>-29667.395672186038</v>
      </c>
      <c r="M23" s="238">
        <f>Schedules!M307+Schedules!M308</f>
        <v>-24465.683227732581</v>
      </c>
      <c r="N23" s="238">
        <f>Schedules!N307+Schedules!N308</f>
        <v>-23456.500410085726</v>
      </c>
      <c r="O23" s="238">
        <f>Schedules!O307+Schedules!O308</f>
        <v>-22876.696696319952</v>
      </c>
      <c r="P23" s="238">
        <f>Schedules!P307+Schedules!P308</f>
        <v>-22311.62441764096</v>
      </c>
    </row>
    <row r="24" spans="2:19" x14ac:dyDescent="0.3">
      <c r="C24" s="227"/>
      <c r="D24" s="227" t="s">
        <v>730</v>
      </c>
      <c r="E24" s="228" t="s">
        <v>505</v>
      </c>
      <c r="F24" s="238">
        <f>Schedules!F302</f>
        <v>-1655</v>
      </c>
      <c r="G24" s="238">
        <f>Schedules!G302</f>
        <v>-2094</v>
      </c>
      <c r="H24" s="238">
        <f>Schedules!H302</f>
        <v>-2154</v>
      </c>
      <c r="I24" s="238">
        <f>Schedules!I302</f>
        <v>-394</v>
      </c>
      <c r="J24" s="238">
        <f>Schedules!J302</f>
        <v>-22780.007049337226</v>
      </c>
      <c r="K24" s="238">
        <f>Schedules!K302</f>
        <v>1191.4891252188609</v>
      </c>
      <c r="L24" s="238">
        <f>Schedules!L302</f>
        <v>8648.1835197326691</v>
      </c>
      <c r="M24" s="238">
        <f>Schedules!M302</f>
        <v>3433.7759629653028</v>
      </c>
      <c r="N24" s="238">
        <f>Schedules!N302</f>
        <v>-661.47747996746511</v>
      </c>
      <c r="O24" s="238">
        <f>Schedules!O302</f>
        <v>92.767534480633913</v>
      </c>
      <c r="P24" s="238">
        <f>Schedules!P302</f>
        <v>72.367189846409019</v>
      </c>
    </row>
    <row r="25" spans="2:19" x14ac:dyDescent="0.3">
      <c r="C25" s="226"/>
      <c r="D25" s="226" t="s">
        <v>99</v>
      </c>
      <c r="E25" s="231" t="s">
        <v>505</v>
      </c>
      <c r="F25" s="235">
        <f>SUM(F21:F24)</f>
        <v>2310.8457841395884</v>
      </c>
      <c r="G25" s="235">
        <f t="shared" ref="G25:P25" si="6">SUM(G21:G24)</f>
        <v>-7228.7216330858964</v>
      </c>
      <c r="H25" s="235">
        <f t="shared" si="6"/>
        <v>-1615.2774193548394</v>
      </c>
      <c r="I25" s="235">
        <f t="shared" si="6"/>
        <v>2738.4943028796333</v>
      </c>
      <c r="J25" s="235">
        <f t="shared" si="6"/>
        <v>42180.470501202777</v>
      </c>
      <c r="K25" s="235">
        <f t="shared" si="6"/>
        <v>74252.157832427649</v>
      </c>
      <c r="L25" s="235">
        <f t="shared" si="6"/>
        <v>41335.314497593456</v>
      </c>
      <c r="M25" s="235">
        <f t="shared" si="6"/>
        <v>22806.999867168306</v>
      </c>
      <c r="N25" s="235">
        <f t="shared" si="6"/>
        <v>22240.668793256984</v>
      </c>
      <c r="O25" s="235">
        <f t="shared" si="6"/>
        <v>21875.469940598836</v>
      </c>
      <c r="P25" s="235">
        <f t="shared" si="6"/>
        <v>20519.229228584867</v>
      </c>
    </row>
    <row r="26" spans="2:19" x14ac:dyDescent="0.3">
      <c r="C26" s="227"/>
      <c r="D26" s="227" t="s">
        <v>731</v>
      </c>
      <c r="E26" s="228" t="s">
        <v>529</v>
      </c>
      <c r="F26" s="233">
        <f>F25/F13</f>
        <v>0.13740312665831778</v>
      </c>
      <c r="G26" s="233">
        <f t="shared" ref="G26:P26" si="7">G25/G13</f>
        <v>-3.5945905684166566</v>
      </c>
      <c r="H26" s="233">
        <f t="shared" si="7"/>
        <v>-0.17781565602761332</v>
      </c>
      <c r="I26" s="233">
        <f t="shared" si="7"/>
        <v>0.1511143528793529</v>
      </c>
      <c r="J26" s="233">
        <f t="shared" si="7"/>
        <v>0.39838623421099167</v>
      </c>
      <c r="K26" s="233">
        <f t="shared" si="7"/>
        <v>0.60148844757455155</v>
      </c>
      <c r="L26" s="233">
        <f t="shared" si="7"/>
        <v>0.58318503023964308</v>
      </c>
      <c r="M26" s="233">
        <f t="shared" si="7"/>
        <v>0.46910770806714897</v>
      </c>
      <c r="N26" s="233">
        <f t="shared" si="7"/>
        <v>0.43473288582829639</v>
      </c>
      <c r="O26" s="233">
        <f t="shared" si="7"/>
        <v>0.44871422543321354</v>
      </c>
      <c r="P26" s="233">
        <f t="shared" si="7"/>
        <v>0.44494465008983081</v>
      </c>
    </row>
    <row r="27" spans="2:19" ht="6" customHeight="1" x14ac:dyDescent="0.3"/>
    <row r="28" spans="2:19" x14ac:dyDescent="0.3">
      <c r="B28" s="226"/>
      <c r="D28" s="268" t="s">
        <v>732</v>
      </c>
      <c r="E28" s="228" t="s">
        <v>505</v>
      </c>
      <c r="F28" s="185">
        <f>Schedules!F304</f>
        <v>15181</v>
      </c>
      <c r="G28" s="185">
        <f>Schedules!G304</f>
        <v>1559</v>
      </c>
      <c r="H28" s="185">
        <f>Schedules!H304</f>
        <v>8507</v>
      </c>
      <c r="I28" s="185">
        <f>Schedules!I304</f>
        <v>17525</v>
      </c>
      <c r="J28" s="185">
        <f>Schedules!J304</f>
        <v>77967.981283996109</v>
      </c>
      <c r="K28" s="185">
        <f>Schedules!K304</f>
        <v>110474.49667545548</v>
      </c>
      <c r="L28" s="185">
        <f>Schedules!L304</f>
        <v>76088.993929434524</v>
      </c>
      <c r="M28" s="185">
        <f>Schedules!M304</f>
        <v>53825.382327709056</v>
      </c>
      <c r="N28" s="185">
        <f>Schedules!N304</f>
        <v>53217.229701875163</v>
      </c>
      <c r="O28" s="185">
        <f>Schedules!O304</f>
        <v>53260.910071131992</v>
      </c>
      <c r="P28" s="185">
        <f>Schedules!P304</f>
        <v>52358.26804151469</v>
      </c>
    </row>
    <row r="29" spans="2:19" x14ac:dyDescent="0.3">
      <c r="C29" s="227"/>
      <c r="D29" s="227" t="s">
        <v>733</v>
      </c>
      <c r="E29" s="228" t="s">
        <v>505</v>
      </c>
      <c r="F29" s="238">
        <f>-Schedules!F301-(Schedules!F275+Schedules!F276)*(1-F19)</f>
        <v>-429.62856545815487</v>
      </c>
      <c r="G29" s="238">
        <f>-Schedules!G301-(Schedules!G275+Schedules!G276)*(1-G19)</f>
        <v>-678.50265111346766</v>
      </c>
      <c r="H29" s="238">
        <f>-Schedules!H301-(Schedules!H275+Schedules!H276)*(1-H19)</f>
        <v>-812.00241935483871</v>
      </c>
      <c r="I29" s="238">
        <f>-Schedules!I301-(Schedules!I275+Schedules!I276)*(1-I19)</f>
        <v>-988.78785995442308</v>
      </c>
      <c r="J29" s="238">
        <f>-Schedules!J301-(Schedules!J275+Schedules!J276)*(1-J19)</f>
        <v>-1799.0790468859777</v>
      </c>
      <c r="K29" s="238">
        <f>-Schedules!K301-(Schedules!K275+Schedules!K276)*(1-K19)</f>
        <v>-2718.7864181988843</v>
      </c>
      <c r="L29" s="238">
        <f>-Schedules!L301-(Schedules!L275+Schedules!L276)*(1-L19)</f>
        <v>-5086.2837596550235</v>
      </c>
      <c r="M29" s="238">
        <f>-Schedules!M301-(Schedules!M275+Schedules!M276)*(1-M19)</f>
        <v>-6552.6992328081651</v>
      </c>
      <c r="N29" s="238">
        <f>-Schedules!N301-(Schedules!N275+Schedules!N276)*(1-N19)</f>
        <v>-7520.0604985324653</v>
      </c>
      <c r="O29" s="238">
        <f>-Schedules!O301-(Schedules!O275+Schedules!O276)*(1-O19)</f>
        <v>-8508.7434342132019</v>
      </c>
      <c r="P29" s="238">
        <f>-Schedules!P301-(Schedules!P275+Schedules!P276)*(1-P19)</f>
        <v>-9527.4143952888608</v>
      </c>
    </row>
    <row r="30" spans="2:19" x14ac:dyDescent="0.3">
      <c r="C30" s="227"/>
      <c r="D30" s="227" t="s">
        <v>734</v>
      </c>
      <c r="E30" s="228" t="s">
        <v>505</v>
      </c>
      <c r="F30" s="237">
        <f>F23</f>
        <v>-11952</v>
      </c>
      <c r="G30" s="237">
        <f t="shared" ref="G30:P30" si="8">G23</f>
        <v>-6966</v>
      </c>
      <c r="H30" s="237">
        <f t="shared" si="8"/>
        <v>-8071</v>
      </c>
      <c r="I30" s="237">
        <f t="shared" si="8"/>
        <v>-13852</v>
      </c>
      <c r="J30" s="237">
        <f t="shared" si="8"/>
        <v>-27000</v>
      </c>
      <c r="K30" s="237">
        <f t="shared" si="8"/>
        <v>-33503.552424828951</v>
      </c>
      <c r="L30" s="237">
        <f t="shared" si="8"/>
        <v>-29667.395672186038</v>
      </c>
      <c r="M30" s="237">
        <f t="shared" si="8"/>
        <v>-24465.683227732581</v>
      </c>
      <c r="N30" s="237">
        <f t="shared" si="8"/>
        <v>-23456.500410085726</v>
      </c>
      <c r="O30" s="237">
        <f t="shared" si="8"/>
        <v>-22876.696696319952</v>
      </c>
      <c r="P30" s="237">
        <f t="shared" si="8"/>
        <v>-22311.62441764096</v>
      </c>
    </row>
    <row r="31" spans="2:19" x14ac:dyDescent="0.3">
      <c r="C31" s="227"/>
      <c r="D31" s="226" t="s">
        <v>735</v>
      </c>
      <c r="E31" s="228" t="s">
        <v>505</v>
      </c>
      <c r="F31" s="238">
        <f>SUM(F28:F30)</f>
        <v>2799.3714345418448</v>
      </c>
      <c r="G31" s="238">
        <f t="shared" ref="G31:P31" si="9">SUM(G28:G30)</f>
        <v>-6085.5026511134674</v>
      </c>
      <c r="H31" s="238">
        <f t="shared" si="9"/>
        <v>-376.00241935483882</v>
      </c>
      <c r="I31" s="238">
        <f t="shared" si="9"/>
        <v>2684.2121400455762</v>
      </c>
      <c r="J31" s="238">
        <f t="shared" si="9"/>
        <v>49168.902237110131</v>
      </c>
      <c r="K31" s="238">
        <f t="shared" si="9"/>
        <v>74252.157832427649</v>
      </c>
      <c r="L31" s="238">
        <f t="shared" si="9"/>
        <v>41335.314497593463</v>
      </c>
      <c r="M31" s="238">
        <f t="shared" si="9"/>
        <v>22806.999867168306</v>
      </c>
      <c r="N31" s="238">
        <f t="shared" si="9"/>
        <v>22240.668793256969</v>
      </c>
      <c r="O31" s="238">
        <f t="shared" si="9"/>
        <v>21875.469940598836</v>
      </c>
      <c r="P31" s="238">
        <f t="shared" si="9"/>
        <v>20519.229228584867</v>
      </c>
    </row>
    <row r="32" spans="2:19" x14ac:dyDescent="0.3">
      <c r="C32" s="226"/>
      <c r="D32" s="226" t="s">
        <v>558</v>
      </c>
      <c r="E32" s="231" t="s">
        <v>505</v>
      </c>
      <c r="F32" s="232">
        <f>F31-F25</f>
        <v>488.52565040225636</v>
      </c>
      <c r="G32" s="232">
        <f t="shared" ref="G32:P32" si="10">G31-G25</f>
        <v>1143.218981972429</v>
      </c>
      <c r="H32" s="232">
        <f t="shared" si="10"/>
        <v>1239.2750000000005</v>
      </c>
      <c r="I32" s="232">
        <f t="shared" si="10"/>
        <v>-54.28216283405709</v>
      </c>
      <c r="J32" s="232">
        <f t="shared" si="10"/>
        <v>6988.4317359073539</v>
      </c>
      <c r="K32" s="232">
        <f t="shared" si="10"/>
        <v>0</v>
      </c>
      <c r="L32" s="232">
        <f t="shared" si="10"/>
        <v>0</v>
      </c>
      <c r="M32" s="232">
        <f t="shared" si="10"/>
        <v>0</v>
      </c>
      <c r="N32" s="232">
        <f t="shared" si="10"/>
        <v>0</v>
      </c>
      <c r="O32" s="232">
        <f t="shared" si="10"/>
        <v>0</v>
      </c>
      <c r="P32" s="232">
        <f t="shared" si="10"/>
        <v>0</v>
      </c>
      <c r="S32" t="s">
        <v>736</v>
      </c>
    </row>
    <row r="33" spans="2:16" x14ac:dyDescent="0.3">
      <c r="C33" s="227"/>
      <c r="D33" s="227"/>
      <c r="E33" s="228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</row>
    <row r="34" spans="2:16" ht="12.75" customHeight="1" x14ac:dyDescent="0.3"/>
    <row r="36" spans="2:16" ht="12.75" customHeight="1" x14ac:dyDescent="0.3">
      <c r="P36" s="219"/>
    </row>
    <row r="37" spans="2:16" ht="22.8" customHeight="1" x14ac:dyDescent="0.45"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</row>
    <row r="38" spans="2:16" ht="17.399999999999999" customHeight="1" x14ac:dyDescent="0.35">
      <c r="B38" s="221" t="s">
        <v>677</v>
      </c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</row>
    <row r="39" spans="2:16" ht="3" customHeight="1" x14ac:dyDescent="0.35"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</row>
    <row r="40" spans="2:16" ht="12.75" customHeight="1" x14ac:dyDescent="0.3"/>
    <row r="41" spans="2:16" x14ac:dyDescent="0.3">
      <c r="F41" s="223" t="s">
        <v>495</v>
      </c>
      <c r="G41" s="224"/>
      <c r="H41" s="224"/>
      <c r="I41" s="224"/>
      <c r="J41" s="223" t="s">
        <v>126</v>
      </c>
      <c r="K41" s="224"/>
      <c r="L41" s="224"/>
      <c r="M41" s="224"/>
      <c r="N41" s="224"/>
      <c r="O41" s="224"/>
      <c r="P41" s="224"/>
    </row>
    <row r="42" spans="2:16" x14ac:dyDescent="0.3">
      <c r="E42" s="225" t="s">
        <v>107</v>
      </c>
      <c r="F42" s="264" t="str">
        <f>'Raw Data'!E144</f>
        <v>FY2022</v>
      </c>
      <c r="G42" s="264" t="str">
        <f>'Raw Data'!F144</f>
        <v>FY2023</v>
      </c>
      <c r="H42" s="264" t="str">
        <f>'Raw Data'!G144</f>
        <v>FY2024</v>
      </c>
      <c r="I42" s="264" t="str">
        <f>'Raw Data'!H144</f>
        <v>FY2025</v>
      </c>
      <c r="J42" s="264" t="s">
        <v>82</v>
      </c>
      <c r="K42" s="264" t="str">
        <f>Assumptions!K24</f>
        <v>FY2027E</v>
      </c>
      <c r="L42" s="264" t="str">
        <f>Assumptions!L24</f>
        <v>FY2028E</v>
      </c>
      <c r="M42" s="264" t="str">
        <f>Assumptions!M24</f>
        <v>FY2029E</v>
      </c>
      <c r="N42" s="264" t="str">
        <f>Assumptions!N24</f>
        <v>FY2030E</v>
      </c>
      <c r="O42" s="264" t="str">
        <f>Assumptions!O24</f>
        <v>FY2031E</v>
      </c>
      <c r="P42" s="264" t="str">
        <f>Assumptions!P24</f>
        <v>FY2032E</v>
      </c>
    </row>
    <row r="43" spans="2:16" ht="6" customHeight="1" x14ac:dyDescent="0.3"/>
    <row r="44" spans="2:16" x14ac:dyDescent="0.3">
      <c r="B44" s="226"/>
    </row>
    <row r="45" spans="2:16" x14ac:dyDescent="0.3">
      <c r="C45" s="227"/>
      <c r="D45" s="227" t="s">
        <v>727</v>
      </c>
      <c r="E45" s="228" t="s">
        <v>505</v>
      </c>
      <c r="F45" s="237">
        <f>F21</f>
        <v>8801.8457841395884</v>
      </c>
      <c r="G45" s="237">
        <f t="shared" ref="G45:P45" si="11">G21</f>
        <v>-5924.7216330858964</v>
      </c>
      <c r="H45" s="237">
        <f t="shared" si="11"/>
        <v>829.72258064516132</v>
      </c>
      <c r="I45" s="237">
        <f t="shared" si="11"/>
        <v>8632.4943028796351</v>
      </c>
      <c r="J45" s="237">
        <f t="shared" si="11"/>
        <v>82811.144217206675</v>
      </c>
      <c r="K45" s="237">
        <f t="shared" si="11"/>
        <v>95671.091129843917</v>
      </c>
      <c r="L45" s="237">
        <f t="shared" si="11"/>
        <v>48302.849243002245</v>
      </c>
      <c r="M45" s="237">
        <f t="shared" si="11"/>
        <v>27080.575779895084</v>
      </c>
      <c r="N45" s="237">
        <f t="shared" si="11"/>
        <v>27204.206149378744</v>
      </c>
      <c r="O45" s="237">
        <f t="shared" si="11"/>
        <v>23188.298713186443</v>
      </c>
      <c r="P45" s="237">
        <f t="shared" si="11"/>
        <v>19027.970011429665</v>
      </c>
    </row>
    <row r="46" spans="2:16" x14ac:dyDescent="0.3">
      <c r="C46" s="227"/>
      <c r="D46" s="227" t="s">
        <v>737</v>
      </c>
      <c r="E46" s="228" t="s">
        <v>505</v>
      </c>
      <c r="F46" s="237">
        <f>Schedules!F351+Schedules!F357-Schedules!F334-Schedules!F335-Schedules!F342</f>
        <v>45835</v>
      </c>
      <c r="G46" s="237">
        <f>Schedules!G351+Schedules!G357-Schedules!G334-Schedules!G335-Schedules!G342</f>
        <v>47012</v>
      </c>
      <c r="H46" s="237">
        <f>Schedules!H351+Schedules!H357-Schedules!H334-Schedules!H335-Schedules!H342</f>
        <v>49376</v>
      </c>
      <c r="I46" s="237">
        <f>Schedules!I351+Schedules!I357-Schedules!I334-Schedules!I335-Schedules!I342</f>
        <v>56806</v>
      </c>
      <c r="J46" s="237">
        <f>Schedules!J351+Schedules!J357-Schedules!J334-Schedules!J335-Schedules!J342</f>
        <v>90361.67371600389</v>
      </c>
      <c r="K46" s="237">
        <f>Schedules!K351+Schedules!K357-Schedules!K334-Schedules!K335-Schedules!K342</f>
        <v>111780.60701342017</v>
      </c>
      <c r="L46" s="237">
        <f>Schedules!L351+Schedules!L357-Schedules!L334-Schedules!L335-Schedules!L342</f>
        <v>118748.14175882898</v>
      </c>
      <c r="M46" s="237">
        <f>Schedules!M351+Schedules!M357-Schedules!M334-Schedules!M335-Schedules!M342</f>
        <v>123021.71767155576</v>
      </c>
      <c r="N46" s="237">
        <f>Schedules!N351+Schedules!N357-Schedules!N334-Schedules!N335-Schedules!N342</f>
        <v>127985.25502767751</v>
      </c>
      <c r="O46" s="237">
        <f>Schedules!O351+Schedules!O357-Schedules!O334-Schedules!O335-Schedules!O342</f>
        <v>129298.08380026513</v>
      </c>
      <c r="P46" s="237">
        <f>Schedules!P351+Schedules!P357-Schedules!P334-Schedules!P335-Schedules!P342</f>
        <v>127806.82458310993</v>
      </c>
    </row>
    <row r="47" spans="2:16" x14ac:dyDescent="0.3">
      <c r="C47" s="227"/>
      <c r="D47" s="227" t="s">
        <v>738</v>
      </c>
      <c r="E47" s="228" t="s">
        <v>529</v>
      </c>
      <c r="F47" s="233">
        <f>F45/F46</f>
        <v>0.19203328862527738</v>
      </c>
      <c r="G47" s="233">
        <f t="shared" ref="G47:P47" si="12">G45/G46</f>
        <v>-0.12602573030472849</v>
      </c>
      <c r="H47" s="233">
        <f t="shared" si="12"/>
        <v>1.6804167624861498E-2</v>
      </c>
      <c r="I47" s="233">
        <f t="shared" si="12"/>
        <v>0.15196448091538983</v>
      </c>
      <c r="J47" s="233">
        <f t="shared" si="12"/>
        <v>0.9164410176539266</v>
      </c>
      <c r="K47" s="233">
        <f t="shared" si="12"/>
        <v>0.85588273034121043</v>
      </c>
      <c r="L47" s="233">
        <f t="shared" si="12"/>
        <v>0.40676720096473346</v>
      </c>
      <c r="M47" s="233">
        <f t="shared" si="12"/>
        <v>0.22012841547372142</v>
      </c>
      <c r="N47" s="233">
        <f t="shared" si="12"/>
        <v>0.21255734610596888</v>
      </c>
      <c r="O47" s="233">
        <f t="shared" si="12"/>
        <v>0.17933984813732323</v>
      </c>
      <c r="P47" s="233">
        <f t="shared" si="12"/>
        <v>0.14888070393342884</v>
      </c>
    </row>
    <row r="48" spans="2:16" x14ac:dyDescent="0.3">
      <c r="C48" s="227"/>
      <c r="D48" s="227" t="s">
        <v>739</v>
      </c>
      <c r="E48" s="228" t="s">
        <v>505</v>
      </c>
      <c r="F48" s="237">
        <f>Schedules!F351-Schedules!F334-Schedules!F335-Schedules!F342</f>
        <v>-4072</v>
      </c>
      <c r="G48" s="237">
        <f>Schedules!G351-Schedules!G334-Schedules!G335-Schedules!G342</f>
        <v>2892</v>
      </c>
      <c r="H48" s="237">
        <f>Schedules!H351-Schedules!H334-Schedules!H335-Schedules!H342</f>
        <v>4245</v>
      </c>
      <c r="I48" s="237">
        <f>Schedules!I351-Schedules!I334-Schedules!I335-Schedules!I342</f>
        <v>2641</v>
      </c>
      <c r="J48" s="237">
        <f>Schedules!J351-Schedules!J334-Schedules!J335-Schedules!J342</f>
        <v>-45796.481283996109</v>
      </c>
      <c r="K48" s="237">
        <f>Schedules!K351-Schedules!K334-Schedules!K335-Schedules!K342</f>
        <v>-120680.42553462263</v>
      </c>
      <c r="L48" s="237">
        <f>Schedules!L351-Schedules!L334-Schedules!L335-Schedules!L342</f>
        <v>-164806.32379187111</v>
      </c>
      <c r="M48" s="237">
        <f>Schedules!M351-Schedules!M334-Schedules!M335-Schedules!M342</f>
        <v>-191640.75289184757</v>
      </c>
      <c r="N48" s="237">
        <f>Schedules!N351-Schedules!N334-Schedules!N335-Schedules!N342</f>
        <v>-218623.68518363702</v>
      </c>
      <c r="O48" s="237">
        <f>Schedules!O351-Schedules!O334-Schedules!O335-Schedules!O342</f>
        <v>-245952.32185844905</v>
      </c>
      <c r="P48" s="237">
        <f>Schedules!P351-Schedules!P334-Schedules!P335-Schedules!P342</f>
        <v>-272637.8311123228</v>
      </c>
    </row>
    <row r="49" spans="2:16" x14ac:dyDescent="0.3">
      <c r="C49" s="227"/>
      <c r="D49" s="227" t="s">
        <v>740</v>
      </c>
      <c r="E49" s="228" t="s">
        <v>751</v>
      </c>
      <c r="F49" s="230">
        <f>F48/F13</f>
        <v>-0.24212153644904269</v>
      </c>
      <c r="G49" s="230">
        <f t="shared" ref="G49:P49" si="13">G48/G13</f>
        <v>1.4380905022376926</v>
      </c>
      <c r="H49" s="230">
        <f t="shared" si="13"/>
        <v>0.46730515191545574</v>
      </c>
      <c r="I49" s="230">
        <f t="shared" si="13"/>
        <v>0.14573446639443771</v>
      </c>
      <c r="J49" s="230">
        <f t="shared" si="13"/>
        <v>-0.4325387436900478</v>
      </c>
      <c r="K49" s="230">
        <f t="shared" si="13"/>
        <v>-0.97758615946586824</v>
      </c>
      <c r="L49" s="230">
        <f t="shared" si="13"/>
        <v>-2.3251929274626044</v>
      </c>
      <c r="M49" s="230">
        <f t="shared" si="13"/>
        <v>-3.9417790540163393</v>
      </c>
      <c r="N49" s="230">
        <f t="shared" si="13"/>
        <v>-4.2733834334655878</v>
      </c>
      <c r="O49" s="230">
        <f t="shared" si="13"/>
        <v>-5.0450255878339894</v>
      </c>
      <c r="P49" s="230">
        <f t="shared" si="13"/>
        <v>-5.9119542461434387</v>
      </c>
    </row>
    <row r="50" spans="2:16" x14ac:dyDescent="0.3">
      <c r="C50" s="227"/>
      <c r="D50" s="227" t="s">
        <v>741</v>
      </c>
      <c r="E50" s="228" t="s">
        <v>751</v>
      </c>
      <c r="F50" s="230">
        <f>F13/-Schedules!F276</f>
        <v>88.984126984126988</v>
      </c>
      <c r="G50" s="230">
        <f>G13/-Schedules!G276</f>
        <v>5.1829896907216497</v>
      </c>
      <c r="H50" s="230">
        <f>H13/-Schedules!H276</f>
        <v>16.163701067615659</v>
      </c>
      <c r="I50" s="230">
        <f>I13/-Schedules!I276</f>
        <v>37.991614255765199</v>
      </c>
      <c r="J50" s="230">
        <f>J13/-Schedules!J276</f>
        <v>998.85220125786157</v>
      </c>
      <c r="K50" s="230">
        <f>K13/-Schedules!K276</f>
        <v>497.56293675569009</v>
      </c>
      <c r="L50" s="230">
        <f>L13/-Schedules!L276</f>
        <v>285.68083896027542</v>
      </c>
      <c r="M50" s="230">
        <f>M13/-Schedules!M276</f>
        <v>195.95747053479241</v>
      </c>
      <c r="N50" s="230">
        <f>N13/-Schedules!N276</f>
        <v>206.20138709962453</v>
      </c>
      <c r="O50" s="230">
        <f>O13/-Schedules!O276</f>
        <v>196.49603318177009</v>
      </c>
      <c r="P50" s="230">
        <f>P13/-Schedules!P276</f>
        <v>194.0401723324523</v>
      </c>
    </row>
    <row r="51" spans="2:16" x14ac:dyDescent="0.3">
      <c r="C51" s="227"/>
      <c r="D51" s="227" t="s">
        <v>742</v>
      </c>
      <c r="E51" s="228" t="s">
        <v>529</v>
      </c>
      <c r="F51" s="233">
        <f>F22/-(Schedules!F260+Schedules!F268)</f>
        <v>0.33795592705167171</v>
      </c>
      <c r="G51" s="233">
        <f>G22/-(Schedules!G260+Schedules!G268)</f>
        <v>0.3643880667136481</v>
      </c>
      <c r="H51" s="233">
        <f>H22/-(Schedules!H260+Schedules!H268)</f>
        <v>0.32679464023186455</v>
      </c>
      <c r="I51" s="233">
        <f>I22/-(Schedules!I260+Schedules!I268)</f>
        <v>0.30252100840336132</v>
      </c>
      <c r="J51" s="233">
        <f>J22/-(Schedules!J260+Schedules!J268)</f>
        <v>0.28387630571930916</v>
      </c>
      <c r="K51" s="233">
        <f>K22/-(Schedules!K260+Schedules!K268)</f>
        <v>0.32896446305898491</v>
      </c>
      <c r="L51" s="233">
        <f>L22/-(Schedules!L260+Schedules!L268)</f>
        <v>0.39797558902644148</v>
      </c>
      <c r="M51" s="233">
        <f>M22/-(Schedules!M260+Schedules!M268)</f>
        <v>0.43959241651189346</v>
      </c>
      <c r="N51" s="233">
        <f>N22/-(Schedules!N260+Schedules!N268)</f>
        <v>0.46899653702465494</v>
      </c>
      <c r="O51" s="233">
        <f>O22/-(Schedules!O260+Schedules!O268)</f>
        <v>0.49059654695420618</v>
      </c>
      <c r="P51" s="233">
        <f>P22/-(Schedules!P260+Schedules!P268)</f>
        <v>0.50592817337879858</v>
      </c>
    </row>
    <row r="52" spans="2:16" ht="6" customHeight="1" x14ac:dyDescent="0.3"/>
    <row r="53" spans="2:16" x14ac:dyDescent="0.3">
      <c r="B53" s="226" t="s">
        <v>743</v>
      </c>
    </row>
    <row r="54" spans="2:16" x14ac:dyDescent="0.3">
      <c r="C54" s="227"/>
      <c r="D54" s="227" t="s">
        <v>192</v>
      </c>
      <c r="E54" s="228" t="s">
        <v>550</v>
      </c>
      <c r="J54" s="241">
        <f>'Raw Data'!D177</f>
        <v>927.6</v>
      </c>
    </row>
    <row r="55" spans="2:16" x14ac:dyDescent="0.3">
      <c r="C55" s="227"/>
      <c r="D55" s="227" t="s">
        <v>685</v>
      </c>
      <c r="E55" s="228" t="s">
        <v>548</v>
      </c>
      <c r="J55" s="238">
        <f>'Raw Data'!D178</f>
        <v>1129.393151</v>
      </c>
    </row>
    <row r="56" spans="2:16" x14ac:dyDescent="0.3">
      <c r="C56" s="227"/>
      <c r="D56" s="227" t="s">
        <v>195</v>
      </c>
      <c r="E56" s="228" t="s">
        <v>505</v>
      </c>
      <c r="J56" s="237">
        <f>J54*J55</f>
        <v>1047625.0868676</v>
      </c>
    </row>
    <row r="57" spans="2:16" x14ac:dyDescent="0.3">
      <c r="C57" s="227"/>
      <c r="D57" s="227" t="s">
        <v>744</v>
      </c>
      <c r="E57" s="228" t="s">
        <v>505</v>
      </c>
      <c r="J57" s="237">
        <f>J48</f>
        <v>-45796.481283996109</v>
      </c>
    </row>
    <row r="58" spans="2:16" x14ac:dyDescent="0.3">
      <c r="C58" s="226"/>
      <c r="D58" s="226" t="s">
        <v>65</v>
      </c>
      <c r="E58" s="231" t="s">
        <v>505</v>
      </c>
      <c r="J58" s="232">
        <f>J56+J57</f>
        <v>1001828.6055836038</v>
      </c>
    </row>
    <row r="59" spans="2:16" ht="6" customHeight="1" x14ac:dyDescent="0.3"/>
    <row r="60" spans="2:16" x14ac:dyDescent="0.3">
      <c r="B60" s="226" t="s">
        <v>745</v>
      </c>
    </row>
    <row r="61" spans="2:16" x14ac:dyDescent="0.3">
      <c r="I61" s="223" t="s">
        <v>746</v>
      </c>
      <c r="J61" s="223" t="s">
        <v>747</v>
      </c>
      <c r="K61" s="223" t="s">
        <v>748</v>
      </c>
    </row>
    <row r="62" spans="2:16" x14ac:dyDescent="0.3">
      <c r="E62" s="225" t="s">
        <v>749</v>
      </c>
      <c r="I62" s="264" t="str">
        <f>I42</f>
        <v>FY2025</v>
      </c>
      <c r="J62" s="264" t="str">
        <f>J42</f>
        <v>FY2026E</v>
      </c>
      <c r="K62" s="264" t="str">
        <f>K42</f>
        <v>FY2027E</v>
      </c>
    </row>
    <row r="63" spans="2:16" x14ac:dyDescent="0.3">
      <c r="C63" s="227"/>
      <c r="D63" s="227" t="s">
        <v>750</v>
      </c>
      <c r="E63" s="228" t="s">
        <v>751</v>
      </c>
      <c r="I63" s="230">
        <f>$J$54/(Schedules!I281/Schedules!I285)</f>
        <v>122.20986063941913</v>
      </c>
      <c r="J63" s="230">
        <f>$J$54/(Schedules!J281/Schedules!J285)</f>
        <v>12.871727791808002</v>
      </c>
      <c r="K63" s="230">
        <f>$J$54/(Schedules!K281/Schedules!K285)</f>
        <v>10.998127150847949</v>
      </c>
    </row>
    <row r="64" spans="2:16" x14ac:dyDescent="0.3">
      <c r="C64" s="227"/>
      <c r="D64" s="227" t="s">
        <v>752</v>
      </c>
      <c r="E64" s="228" t="s">
        <v>751</v>
      </c>
      <c r="I64" s="230">
        <f>$J$56/Schedules!I357</f>
        <v>19.341365953431183</v>
      </c>
      <c r="J64" s="230">
        <f>$J$56/Schedules!J357</f>
        <v>7.6941780451387576</v>
      </c>
      <c r="K64" s="230">
        <f>$J$56/Schedules!K357</f>
        <v>4.5066696787173868</v>
      </c>
    </row>
    <row r="65" spans="3:11" x14ac:dyDescent="0.3">
      <c r="C65" s="227"/>
      <c r="D65" s="227" t="s">
        <v>753</v>
      </c>
      <c r="E65" s="228" t="s">
        <v>751</v>
      </c>
      <c r="I65" s="230">
        <f>$J$56/Schedules!I259</f>
        <v>28.027852931339289</v>
      </c>
      <c r="J65" s="230">
        <f>$J$56/Schedules!J259</f>
        <v>8.1237066576787971</v>
      </c>
      <c r="K65" s="230">
        <f>$J$56/Schedules!K259</f>
        <v>7.1918872042052762</v>
      </c>
    </row>
    <row r="66" spans="3:11" x14ac:dyDescent="0.3">
      <c r="C66" s="227"/>
      <c r="D66" s="227" t="s">
        <v>754</v>
      </c>
      <c r="E66" s="228" t="s">
        <v>751</v>
      </c>
      <c r="I66" s="230">
        <f>$J$58/I13</f>
        <v>55.282452576073496</v>
      </c>
      <c r="J66" s="230">
        <f>$J$58/J13</f>
        <v>9.4620738166474467</v>
      </c>
      <c r="K66" s="230">
        <f>$J$58/K13</f>
        <v>8.1154319322029878</v>
      </c>
    </row>
    <row r="67" spans="3:11" x14ac:dyDescent="0.3">
      <c r="C67" s="227"/>
      <c r="D67" s="227" t="s">
        <v>755</v>
      </c>
      <c r="E67" s="228" t="s">
        <v>751</v>
      </c>
      <c r="I67" s="230">
        <f>$J$58/I10</f>
        <v>26.802627363251212</v>
      </c>
      <c r="J67" s="230">
        <f>$J$58/J10</f>
        <v>7.7685823058770911</v>
      </c>
      <c r="K67" s="230">
        <f>$J$58/K10</f>
        <v>6.8774969400996371</v>
      </c>
    </row>
    <row r="68" spans="3:11" x14ac:dyDescent="0.3">
      <c r="C68" s="227"/>
      <c r="D68" s="227" t="s">
        <v>756</v>
      </c>
      <c r="E68" s="228" t="s">
        <v>751</v>
      </c>
      <c r="I68" s="230">
        <f>$J$58/I25</f>
        <v>365.83191154721123</v>
      </c>
      <c r="J68" s="230">
        <f>$J$58/J25</f>
        <v>23.751005943734949</v>
      </c>
      <c r="K68" s="230">
        <f>$J$58/K25</f>
        <v>13.492249044728528</v>
      </c>
    </row>
    <row r="69" spans="3:11" ht="12.75" customHeight="1" x14ac:dyDescent="0.3"/>
  </sheetData>
  <pageMargins left="0.25" right="0.25" top="0.25" bottom="0.5" header="0.3" footer="0.3"/>
  <pageSetup fitToHeight="0" orientation="landscape"/>
  <headerFoot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5DB5-7BF7-4B06-A1EA-17843877B5B7}">
  <sheetPr>
    <tabColor theme="2" tint="-0.749992370372631"/>
    <pageSetUpPr fitToPage="1"/>
  </sheetPr>
  <dimension ref="B1:H48"/>
  <sheetViews>
    <sheetView showGridLines="0" workbookViewId="0">
      <selection activeCell="G45" sqref="G45"/>
    </sheetView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40.77734375" customWidth="1"/>
    <col min="5" max="5" width="9.6640625" customWidth="1"/>
    <col min="6" max="8" width="14.77734375" customWidth="1"/>
  </cols>
  <sheetData>
    <row r="1" spans="2:8" ht="12.75" customHeight="1" x14ac:dyDescent="0.3"/>
    <row r="2" spans="2:8" ht="22.8" customHeight="1" x14ac:dyDescent="0.45">
      <c r="B2" s="220"/>
      <c r="C2" s="220"/>
      <c r="D2" s="220"/>
      <c r="E2" s="220"/>
      <c r="F2" s="220"/>
      <c r="G2" s="220"/>
      <c r="H2" s="220"/>
    </row>
    <row r="3" spans="2:8" ht="17.399999999999999" customHeight="1" x14ac:dyDescent="0.35">
      <c r="B3" s="221" t="s">
        <v>762</v>
      </c>
      <c r="C3" s="221"/>
      <c r="D3" s="221"/>
      <c r="E3" s="221"/>
      <c r="F3" s="221"/>
      <c r="G3" s="221"/>
      <c r="H3" s="221"/>
    </row>
    <row r="4" spans="2:8" ht="3" customHeight="1" x14ac:dyDescent="0.35">
      <c r="B4" s="222"/>
      <c r="C4" s="222"/>
      <c r="D4" s="222"/>
      <c r="E4" s="222"/>
      <c r="F4" s="222"/>
      <c r="G4" s="222"/>
      <c r="H4" s="222"/>
    </row>
    <row r="5" spans="2:8" ht="12.75" customHeight="1" x14ac:dyDescent="0.3"/>
    <row r="7" spans="2:8" x14ac:dyDescent="0.3">
      <c r="E7" s="225" t="s">
        <v>107</v>
      </c>
      <c r="F7" s="264" t="s">
        <v>190</v>
      </c>
    </row>
    <row r="8" spans="2:8" ht="6" customHeight="1" x14ac:dyDescent="0.3"/>
    <row r="9" spans="2:8" x14ac:dyDescent="0.3">
      <c r="B9" s="226"/>
      <c r="C9" s="246" t="s">
        <v>763</v>
      </c>
    </row>
    <row r="10" spans="2:8" x14ac:dyDescent="0.3">
      <c r="C10" s="227"/>
      <c r="D10" s="227" t="s">
        <v>764</v>
      </c>
      <c r="E10" s="228" t="s">
        <v>529</v>
      </c>
      <c r="F10" s="272">
        <f>'Raw Data'!D187</f>
        <v>4.9700000000000001E-2</v>
      </c>
    </row>
    <row r="11" spans="2:8" x14ac:dyDescent="0.3">
      <c r="C11" s="227"/>
      <c r="D11" s="227" t="s">
        <v>696</v>
      </c>
      <c r="E11" s="228" t="s">
        <v>529</v>
      </c>
      <c r="F11" s="272">
        <f>'Raw Data'!D188</f>
        <v>4.1399999999999999E-2</v>
      </c>
    </row>
    <row r="12" spans="2:8" x14ac:dyDescent="0.3">
      <c r="C12" s="227"/>
      <c r="D12" s="227" t="s">
        <v>765</v>
      </c>
      <c r="E12" s="228" t="s">
        <v>751</v>
      </c>
      <c r="F12" s="273">
        <f>'Raw Data'!D186</f>
        <v>2.2200000000000002</v>
      </c>
    </row>
    <row r="13" spans="2:8" x14ac:dyDescent="0.3">
      <c r="C13" s="227"/>
      <c r="D13" s="227" t="s">
        <v>766</v>
      </c>
      <c r="E13" s="228" t="s">
        <v>751</v>
      </c>
      <c r="F13" s="275">
        <v>1</v>
      </c>
    </row>
    <row r="14" spans="2:8" x14ac:dyDescent="0.3">
      <c r="C14" s="227"/>
      <c r="D14" s="227" t="s">
        <v>767</v>
      </c>
      <c r="E14" s="228" t="s">
        <v>529</v>
      </c>
      <c r="F14" s="274">
        <v>0.67</v>
      </c>
    </row>
    <row r="15" spans="2:8" x14ac:dyDescent="0.3">
      <c r="C15" s="227"/>
      <c r="D15" s="227" t="s">
        <v>768</v>
      </c>
      <c r="E15" s="228" t="s">
        <v>751</v>
      </c>
      <c r="F15" s="271">
        <f>(F14*F12)+(1-F14)*F13</f>
        <v>1.8174000000000001</v>
      </c>
    </row>
    <row r="16" spans="2:8" x14ac:dyDescent="0.3">
      <c r="C16" s="226"/>
      <c r="D16" s="226" t="s">
        <v>769</v>
      </c>
      <c r="E16" s="231" t="s">
        <v>529</v>
      </c>
      <c r="F16" s="276">
        <f>F10+F11*F15</f>
        <v>0.12494036</v>
      </c>
    </row>
    <row r="17" spans="2:6" ht="6" customHeight="1" x14ac:dyDescent="0.3"/>
    <row r="18" spans="2:6" x14ac:dyDescent="0.3">
      <c r="B18" s="226"/>
      <c r="C18" s="246" t="s">
        <v>770</v>
      </c>
    </row>
    <row r="19" spans="2:6" x14ac:dyDescent="0.3">
      <c r="C19" s="227"/>
      <c r="D19" s="227" t="s">
        <v>771</v>
      </c>
      <c r="E19" s="228" t="s">
        <v>529</v>
      </c>
      <c r="F19" s="272">
        <f>'Raw Data'!D189</f>
        <v>5.8999999999999997E-2</v>
      </c>
    </row>
    <row r="20" spans="2:6" x14ac:dyDescent="0.3">
      <c r="C20" s="227"/>
      <c r="D20" s="227" t="s">
        <v>772</v>
      </c>
      <c r="E20" s="228" t="s">
        <v>529</v>
      </c>
      <c r="F20" s="272">
        <f>Assumptions!K71</f>
        <v>0.15</v>
      </c>
    </row>
    <row r="21" spans="2:6" x14ac:dyDescent="0.3">
      <c r="C21" s="226"/>
      <c r="D21" s="226" t="s">
        <v>773</v>
      </c>
      <c r="E21" s="231" t="s">
        <v>529</v>
      </c>
      <c r="F21" s="276">
        <f>F19*(1-F20)</f>
        <v>5.0149999999999993E-2</v>
      </c>
    </row>
    <row r="22" spans="2:6" ht="6" customHeight="1" x14ac:dyDescent="0.3"/>
    <row r="23" spans="2:6" x14ac:dyDescent="0.3">
      <c r="B23" s="226"/>
      <c r="C23" s="246" t="s">
        <v>774</v>
      </c>
    </row>
    <row r="24" spans="2:6" x14ac:dyDescent="0.3">
      <c r="C24" s="227"/>
      <c r="D24" s="227" t="s">
        <v>775</v>
      </c>
      <c r="E24" s="228" t="s">
        <v>505</v>
      </c>
      <c r="F24" s="238">
        <f>Model!J56</f>
        <v>1047625.0868676</v>
      </c>
    </row>
    <row r="25" spans="2:6" x14ac:dyDescent="0.3">
      <c r="C25" s="227"/>
      <c r="D25" s="227" t="s">
        <v>776</v>
      </c>
      <c r="E25" s="228" t="s">
        <v>505</v>
      </c>
      <c r="F25" s="238">
        <f>Schedules!J214</f>
        <v>5722</v>
      </c>
    </row>
    <row r="26" spans="2:6" x14ac:dyDescent="0.3">
      <c r="C26" s="226"/>
      <c r="D26" s="226" t="s">
        <v>777</v>
      </c>
      <c r="E26" s="231" t="s">
        <v>505</v>
      </c>
      <c r="F26" s="232">
        <f>F24+F25</f>
        <v>1053347.0868676</v>
      </c>
    </row>
    <row r="27" spans="2:6" x14ac:dyDescent="0.3">
      <c r="C27" s="227"/>
      <c r="D27" s="227" t="s">
        <v>778</v>
      </c>
      <c r="E27" s="228" t="s">
        <v>529</v>
      </c>
      <c r="F27" s="270">
        <f>F24/F26</f>
        <v>0.9945677924481513</v>
      </c>
    </row>
    <row r="28" spans="2:6" x14ac:dyDescent="0.3">
      <c r="C28" s="227"/>
      <c r="D28" s="227" t="s">
        <v>779</v>
      </c>
      <c r="E28" s="228" t="s">
        <v>529</v>
      </c>
      <c r="F28" s="270">
        <f>F25/F26</f>
        <v>5.4322075518486949E-3</v>
      </c>
    </row>
    <row r="29" spans="2:6" x14ac:dyDescent="0.3">
      <c r="C29" s="227"/>
      <c r="D29" s="227" t="s">
        <v>780</v>
      </c>
      <c r="E29" s="228" t="s">
        <v>529</v>
      </c>
      <c r="F29" s="270">
        <f>F25/F24</f>
        <v>5.4618776046197835E-3</v>
      </c>
    </row>
    <row r="30" spans="2:6" ht="6" customHeight="1" x14ac:dyDescent="0.3"/>
    <row r="31" spans="2:6" x14ac:dyDescent="0.3">
      <c r="B31" s="226"/>
      <c r="C31" s="246" t="s">
        <v>781</v>
      </c>
    </row>
    <row r="32" spans="2:6" x14ac:dyDescent="0.3">
      <c r="C32" s="227"/>
      <c r="D32" s="227" t="s">
        <v>782</v>
      </c>
      <c r="E32" s="228" t="s">
        <v>529</v>
      </c>
      <c r="F32" s="270">
        <f>F27*F16</f>
        <v>0.12426165803287731</v>
      </c>
    </row>
    <row r="33" spans="2:8" x14ac:dyDescent="0.3">
      <c r="C33" s="227"/>
      <c r="D33" s="227" t="s">
        <v>783</v>
      </c>
      <c r="E33" s="228" t="s">
        <v>529</v>
      </c>
      <c r="F33" s="270">
        <f>F28*F21</f>
        <v>2.7242520872521199E-4</v>
      </c>
    </row>
    <row r="34" spans="2:8" x14ac:dyDescent="0.3">
      <c r="C34" s="226"/>
      <c r="D34" s="226" t="s">
        <v>42</v>
      </c>
      <c r="E34" s="231" t="s">
        <v>529</v>
      </c>
      <c r="F34" s="276">
        <f>F32+F33</f>
        <v>0.12453408324160252</v>
      </c>
    </row>
    <row r="35" spans="2:8" ht="6" customHeight="1" x14ac:dyDescent="0.3"/>
    <row r="36" spans="2:8" x14ac:dyDescent="0.3">
      <c r="B36" s="226"/>
      <c r="C36" s="246" t="s">
        <v>784</v>
      </c>
    </row>
    <row r="37" spans="2:8" x14ac:dyDescent="0.3">
      <c r="C37" s="227"/>
      <c r="D37" s="227" t="s">
        <v>785</v>
      </c>
      <c r="E37" s="228" t="s">
        <v>751</v>
      </c>
      <c r="F37" s="273">
        <f>'Raw Data'!D191</f>
        <v>1.52</v>
      </c>
    </row>
    <row r="38" spans="2:8" x14ac:dyDescent="0.3">
      <c r="C38" s="227"/>
      <c r="D38" s="227" t="s">
        <v>786</v>
      </c>
      <c r="E38" s="228" t="s">
        <v>529</v>
      </c>
      <c r="F38" s="272">
        <f>'Raw Data'!D192</f>
        <v>2.5899999999999999E-2</v>
      </c>
    </row>
    <row r="39" spans="2:8" x14ac:dyDescent="0.3">
      <c r="C39" s="227"/>
      <c r="D39" s="227" t="s">
        <v>787</v>
      </c>
      <c r="E39" s="228" t="s">
        <v>529</v>
      </c>
      <c r="F39" s="272">
        <f>'Raw Data'!D193</f>
        <v>5.11E-2</v>
      </c>
    </row>
    <row r="40" spans="2:8" x14ac:dyDescent="0.3">
      <c r="C40" s="227"/>
      <c r="D40" s="227" t="s">
        <v>788</v>
      </c>
      <c r="E40" s="228" t="s">
        <v>751</v>
      </c>
      <c r="F40" s="271">
        <f>F37/(1+(1-F39)*F38)</f>
        <v>1.4835397700070247</v>
      </c>
      <c r="G40" t="s">
        <v>799</v>
      </c>
    </row>
    <row r="41" spans="2:8" x14ac:dyDescent="0.3">
      <c r="C41" s="226"/>
      <c r="D41" s="226" t="s">
        <v>789</v>
      </c>
      <c r="E41" s="231" t="s">
        <v>751</v>
      </c>
      <c r="F41" s="277">
        <f>F40*(1+F29*(1-F20))</f>
        <v>1.4904272457555845</v>
      </c>
      <c r="G41" t="s">
        <v>800</v>
      </c>
    </row>
    <row r="42" spans="2:8" ht="6" customHeight="1" x14ac:dyDescent="0.3"/>
    <row r="43" spans="2:8" x14ac:dyDescent="0.3">
      <c r="B43" s="226"/>
      <c r="C43" s="246" t="s">
        <v>790</v>
      </c>
    </row>
    <row r="44" spans="2:8" x14ac:dyDescent="0.3">
      <c r="F44" s="223" t="s">
        <v>791</v>
      </c>
      <c r="G44" s="223" t="s">
        <v>792</v>
      </c>
      <c r="H44" s="223" t="s">
        <v>793</v>
      </c>
    </row>
    <row r="45" spans="2:8" x14ac:dyDescent="0.3">
      <c r="C45" s="227"/>
      <c r="D45" s="227" t="s">
        <v>794</v>
      </c>
      <c r="E45" s="228" t="s">
        <v>751</v>
      </c>
      <c r="F45" s="271">
        <f>F15</f>
        <v>1.8174000000000001</v>
      </c>
      <c r="G45" s="271">
        <f>F12</f>
        <v>2.2200000000000002</v>
      </c>
      <c r="H45" s="271">
        <f>F41</f>
        <v>1.4904272457555845</v>
      </c>
    </row>
    <row r="46" spans="2:8" x14ac:dyDescent="0.3">
      <c r="C46" s="227"/>
      <c r="D46" s="227" t="s">
        <v>769</v>
      </c>
      <c r="E46" s="228" t="s">
        <v>529</v>
      </c>
      <c r="F46" s="270">
        <f>$F$10+F45*$F$11</f>
        <v>0.12494036</v>
      </c>
      <c r="G46" s="270">
        <f t="shared" ref="G46:H46" si="0">$F$10+G45*$F$11</f>
        <v>0.14160800000000001</v>
      </c>
      <c r="H46" s="270">
        <f t="shared" si="0"/>
        <v>0.1114036879742812</v>
      </c>
    </row>
    <row r="47" spans="2:8" x14ac:dyDescent="0.3">
      <c r="C47" s="226"/>
      <c r="D47" s="226" t="s">
        <v>42</v>
      </c>
      <c r="E47" s="231" t="s">
        <v>529</v>
      </c>
      <c r="F47" s="276">
        <f>F46*$F$27+$F$28*$F$21</f>
        <v>0.12453408324160252</v>
      </c>
      <c r="G47" s="276">
        <f t="shared" ref="G47:H47" si="1">G46*$F$27+$F$28*$F$21</f>
        <v>0.14111118116172305</v>
      </c>
      <c r="H47" s="276">
        <f t="shared" si="1"/>
        <v>0.11107094522788873</v>
      </c>
    </row>
    <row r="48" spans="2:8" ht="12.75" customHeight="1" x14ac:dyDescent="0.3"/>
  </sheetData>
  <pageMargins left="0.25" right="0.25" top="0.25" bottom="0.5" header="0.3" footer="0.3"/>
  <pageSetup fitToHeight="0" orientation="portrait"/>
  <headerFoot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3691-6B54-4364-9E57-8FCA57D18854}">
  <sheetPr>
    <tabColor theme="3"/>
    <pageSetUpPr fitToPage="1"/>
  </sheetPr>
  <dimension ref="B1:P80"/>
  <sheetViews>
    <sheetView showGridLines="0" workbookViewId="0">
      <selection activeCell="F7" sqref="F7"/>
    </sheetView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42.77734375" customWidth="1"/>
    <col min="5" max="5" width="9.6640625" customWidth="1"/>
    <col min="6" max="16" width="13.33203125" customWidth="1"/>
  </cols>
  <sheetData>
    <row r="1" spans="2:16" ht="12.75" customHeight="1" x14ac:dyDescent="0.3">
      <c r="P1" s="219"/>
    </row>
    <row r="2" spans="2:16" ht="22.8" customHeight="1" x14ac:dyDescent="0.4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2:16" ht="17.399999999999999" customHeight="1" x14ac:dyDescent="0.35">
      <c r="B3" s="221" t="s">
        <v>805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2:16" ht="3" customHeight="1" x14ac:dyDescent="0.35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</row>
    <row r="5" spans="2:16" ht="12.75" customHeight="1" x14ac:dyDescent="0.3"/>
    <row r="6" spans="2:16" x14ac:dyDescent="0.3">
      <c r="F6" s="223" t="s">
        <v>495</v>
      </c>
      <c r="G6" s="224"/>
      <c r="H6" s="224"/>
      <c r="I6" s="224"/>
      <c r="J6" s="223" t="s">
        <v>126</v>
      </c>
      <c r="K6" s="224"/>
      <c r="L6" s="224"/>
      <c r="M6" s="224"/>
      <c r="N6" s="224"/>
      <c r="O6" s="224"/>
      <c r="P6" s="224"/>
    </row>
    <row r="7" spans="2:16" x14ac:dyDescent="0.3">
      <c r="E7" s="225" t="s">
        <v>107</v>
      </c>
      <c r="F7" s="264" t="str">
        <f>Model!F7</f>
        <v>FY2022</v>
      </c>
      <c r="G7" s="264" t="str">
        <f>Model!G7</f>
        <v>FY2023</v>
      </c>
      <c r="H7" s="264" t="str">
        <f>Model!H7</f>
        <v>FY2024</v>
      </c>
      <c r="I7" s="264" t="str">
        <f>Model!I7</f>
        <v>FY2025</v>
      </c>
      <c r="J7" s="264" t="str">
        <f>Model!J7</f>
        <v>FY2026E</v>
      </c>
      <c r="K7" s="264" t="str">
        <f>Model!K7</f>
        <v>FY2027E</v>
      </c>
      <c r="L7" s="264" t="str">
        <f>Model!L7</f>
        <v>FY2028E</v>
      </c>
      <c r="M7" s="264" t="str">
        <f>Model!M7</f>
        <v>FY2029E</v>
      </c>
      <c r="N7" s="264" t="str">
        <f>Model!N7</f>
        <v>FY2030E</v>
      </c>
      <c r="O7" s="264" t="str">
        <f>Model!O7</f>
        <v>FY2031E</v>
      </c>
      <c r="P7" s="264" t="str">
        <f>Model!P7</f>
        <v>FY2032E</v>
      </c>
    </row>
    <row r="8" spans="2:16" ht="6" customHeight="1" x14ac:dyDescent="0.3"/>
    <row r="9" spans="2:16" x14ac:dyDescent="0.3">
      <c r="B9" s="226"/>
      <c r="C9" s="246" t="s">
        <v>806</v>
      </c>
    </row>
    <row r="10" spans="2:16" x14ac:dyDescent="0.3">
      <c r="C10" s="227"/>
      <c r="D10" s="227" t="s">
        <v>93</v>
      </c>
      <c r="E10" s="228" t="s">
        <v>505</v>
      </c>
      <c r="F10" s="238">
        <f>Model!F13</f>
        <v>16818</v>
      </c>
      <c r="G10" s="238">
        <f>Model!G13</f>
        <v>2011</v>
      </c>
      <c r="H10" s="238">
        <f>Model!H13</f>
        <v>9084</v>
      </c>
      <c r="I10" s="238">
        <f>Model!I13</f>
        <v>18122</v>
      </c>
      <c r="J10" s="238">
        <f>Model!J13</f>
        <v>105878.33333333333</v>
      </c>
      <c r="K10" s="238">
        <f>Model!K13</f>
        <v>123447.35486083373</v>
      </c>
      <c r="L10" s="238">
        <f>Model!L13</f>
        <v>70878.558869400164</v>
      </c>
      <c r="M10" s="238">
        <f>Model!M13</f>
        <v>48617.832269564133</v>
      </c>
      <c r="N10" s="238">
        <f>Model!N13</f>
        <v>51159.388944965242</v>
      </c>
      <c r="O10" s="238">
        <f>Model!O13</f>
        <v>48751.45181652988</v>
      </c>
      <c r="P10" s="238">
        <f>Model!P13</f>
        <v>46116.363517219943</v>
      </c>
    </row>
    <row r="11" spans="2:16" x14ac:dyDescent="0.3">
      <c r="C11" s="227"/>
      <c r="D11" s="227" t="s">
        <v>727</v>
      </c>
      <c r="E11" s="228" t="s">
        <v>505</v>
      </c>
      <c r="F11" s="238">
        <f>Model!F21</f>
        <v>8801.8457841395884</v>
      </c>
      <c r="G11" s="238">
        <f>Model!G21</f>
        <v>-5924.7216330858964</v>
      </c>
      <c r="H11" s="238">
        <f>Model!H21</f>
        <v>829.72258064516132</v>
      </c>
      <c r="I11" s="238">
        <f>Model!I21</f>
        <v>8632.4943028796351</v>
      </c>
      <c r="J11" s="238">
        <f>Model!J21</f>
        <v>82811.144217206675</v>
      </c>
      <c r="K11" s="238">
        <f>Model!K21</f>
        <v>95671.091129843917</v>
      </c>
      <c r="L11" s="238">
        <f>Model!L21</f>
        <v>48302.849243002245</v>
      </c>
      <c r="M11" s="238">
        <f>Model!M21</f>
        <v>27080.575779895084</v>
      </c>
      <c r="N11" s="238">
        <f>Model!N21</f>
        <v>27204.206149378744</v>
      </c>
      <c r="O11" s="238">
        <f>Model!O21</f>
        <v>23188.298713186443</v>
      </c>
      <c r="P11" s="238">
        <f>Model!P21</f>
        <v>19027.970011429665</v>
      </c>
    </row>
    <row r="12" spans="2:16" x14ac:dyDescent="0.3">
      <c r="C12" s="227"/>
      <c r="D12" s="227" t="s">
        <v>728</v>
      </c>
      <c r="E12" s="228" t="s">
        <v>505</v>
      </c>
      <c r="F12" s="238">
        <f>Model!F22</f>
        <v>7116</v>
      </c>
      <c r="G12" s="238">
        <f>Model!G22</f>
        <v>7756</v>
      </c>
      <c r="H12" s="238">
        <f>Model!H22</f>
        <v>7780</v>
      </c>
      <c r="I12" s="238">
        <f>Model!I22</f>
        <v>8352</v>
      </c>
      <c r="J12" s="238">
        <f>Model!J22</f>
        <v>9149.3333333333339</v>
      </c>
      <c r="K12" s="238">
        <f>Model!K22</f>
        <v>10893.130002193828</v>
      </c>
      <c r="L12" s="238">
        <f>Model!L22</f>
        <v>14051.677407044577</v>
      </c>
      <c r="M12" s="238">
        <f>Model!M22</f>
        <v>16758.331352040506</v>
      </c>
      <c r="N12" s="238">
        <f>Model!N22</f>
        <v>19154.440533931425</v>
      </c>
      <c r="O12" s="238">
        <f>Model!O22</f>
        <v>21471.100389251707</v>
      </c>
      <c r="P12" s="238">
        <f>Model!P22</f>
        <v>23730.516444949753</v>
      </c>
    </row>
    <row r="13" spans="2:16" x14ac:dyDescent="0.3">
      <c r="C13" s="227"/>
      <c r="D13" s="227" t="s">
        <v>807</v>
      </c>
      <c r="E13" s="228" t="s">
        <v>505</v>
      </c>
      <c r="F13" s="238">
        <f>Model!F23</f>
        <v>-11952</v>
      </c>
      <c r="G13" s="238">
        <f>Model!G23</f>
        <v>-6966</v>
      </c>
      <c r="H13" s="238">
        <f>Model!H23</f>
        <v>-8071</v>
      </c>
      <c r="I13" s="238">
        <f>Model!I23</f>
        <v>-13852</v>
      </c>
      <c r="J13" s="238">
        <f>Model!J23</f>
        <v>-27000</v>
      </c>
      <c r="K13" s="238">
        <f>Model!K23</f>
        <v>-33503.552424828951</v>
      </c>
      <c r="L13" s="238">
        <f>Model!L23</f>
        <v>-29667.395672186038</v>
      </c>
      <c r="M13" s="238">
        <f>Model!M23</f>
        <v>-24465.683227732581</v>
      </c>
      <c r="N13" s="238">
        <f>Model!N23</f>
        <v>-23456.500410085726</v>
      </c>
      <c r="O13" s="238">
        <f>Model!O23</f>
        <v>-22876.696696319952</v>
      </c>
      <c r="P13" s="238">
        <f>Model!P23</f>
        <v>-22311.62441764096</v>
      </c>
    </row>
    <row r="14" spans="2:16" x14ac:dyDescent="0.3">
      <c r="C14" s="227"/>
      <c r="D14" s="227" t="s">
        <v>808</v>
      </c>
      <c r="E14" s="228" t="s">
        <v>505</v>
      </c>
      <c r="F14" s="238">
        <f>Model!F24</f>
        <v>-1655</v>
      </c>
      <c r="G14" s="238">
        <f>Model!G24</f>
        <v>-2094</v>
      </c>
      <c r="H14" s="238">
        <f>Model!H24</f>
        <v>-2154</v>
      </c>
      <c r="I14" s="238">
        <f>Model!I24</f>
        <v>-394</v>
      </c>
      <c r="J14" s="238">
        <f>Model!J24</f>
        <v>-22780.007049337226</v>
      </c>
      <c r="K14" s="238">
        <f>Model!K24</f>
        <v>1191.4891252188609</v>
      </c>
      <c r="L14" s="238">
        <f>Model!L24</f>
        <v>8648.1835197326691</v>
      </c>
      <c r="M14" s="238">
        <f>Model!M24</f>
        <v>3433.7759629653028</v>
      </c>
      <c r="N14" s="238">
        <f>Model!N24</f>
        <v>-661.47747996746511</v>
      </c>
      <c r="O14" s="238">
        <f>Model!O24</f>
        <v>92.767534480633913</v>
      </c>
      <c r="P14" s="238">
        <f>Model!P24</f>
        <v>72.367189846409019</v>
      </c>
    </row>
    <row r="15" spans="2:16" x14ac:dyDescent="0.3">
      <c r="C15" s="226"/>
      <c r="D15" s="226" t="s">
        <v>809</v>
      </c>
      <c r="E15" s="231" t="s">
        <v>505</v>
      </c>
      <c r="F15" s="232">
        <f>SUM(F11:F14)</f>
        <v>2310.8457841395884</v>
      </c>
      <c r="G15" s="232">
        <f t="shared" ref="G15:P15" si="0">SUM(G11:G14)</f>
        <v>-7228.7216330858964</v>
      </c>
      <c r="H15" s="232">
        <f t="shared" si="0"/>
        <v>-1615.2774193548394</v>
      </c>
      <c r="I15" s="232">
        <f t="shared" si="0"/>
        <v>2738.4943028796333</v>
      </c>
      <c r="J15" s="232">
        <f t="shared" si="0"/>
        <v>42180.470501202777</v>
      </c>
      <c r="K15" s="232">
        <f t="shared" si="0"/>
        <v>74252.157832427649</v>
      </c>
      <c r="L15" s="232">
        <f t="shared" si="0"/>
        <v>41335.314497593456</v>
      </c>
      <c r="M15" s="232">
        <f t="shared" si="0"/>
        <v>22806.999867168306</v>
      </c>
      <c r="N15" s="232">
        <f t="shared" si="0"/>
        <v>22240.668793256984</v>
      </c>
      <c r="O15" s="232">
        <f t="shared" si="0"/>
        <v>21875.469940598836</v>
      </c>
      <c r="P15" s="232">
        <f t="shared" si="0"/>
        <v>20519.229228584867</v>
      </c>
    </row>
    <row r="16" spans="2:16" ht="6" customHeight="1" x14ac:dyDescent="0.3"/>
    <row r="17" spans="2:16" x14ac:dyDescent="0.3">
      <c r="B17" s="226"/>
      <c r="C17" s="246" t="s">
        <v>810</v>
      </c>
    </row>
    <row r="18" spans="2:16" x14ac:dyDescent="0.3">
      <c r="C18" s="227"/>
      <c r="D18" s="227" t="s">
        <v>811</v>
      </c>
      <c r="E18" s="228" t="s">
        <v>505</v>
      </c>
      <c r="F18" s="237">
        <f>F11-F15</f>
        <v>6491</v>
      </c>
      <c r="G18" s="237">
        <f t="shared" ref="G18:P18" si="1">G11-G15</f>
        <v>1304</v>
      </c>
      <c r="H18" s="237">
        <f t="shared" si="1"/>
        <v>2445.0000000000009</v>
      </c>
      <c r="I18" s="237">
        <f t="shared" si="1"/>
        <v>5894.0000000000018</v>
      </c>
      <c r="J18" s="237">
        <f t="shared" si="1"/>
        <v>40630.673716003897</v>
      </c>
      <c r="K18" s="237">
        <f t="shared" si="1"/>
        <v>21418.933297416268</v>
      </c>
      <c r="L18" s="237">
        <f t="shared" si="1"/>
        <v>6967.5347454087896</v>
      </c>
      <c r="M18" s="237">
        <f t="shared" si="1"/>
        <v>4273.5759127267775</v>
      </c>
      <c r="N18" s="237">
        <f t="shared" si="1"/>
        <v>4963.5373561217602</v>
      </c>
      <c r="O18" s="237">
        <f t="shared" si="1"/>
        <v>1312.8287725876071</v>
      </c>
      <c r="P18" s="237">
        <f t="shared" si="1"/>
        <v>-1491.2592171552024</v>
      </c>
    </row>
    <row r="19" spans="2:16" x14ac:dyDescent="0.3">
      <c r="C19" s="227"/>
      <c r="D19" s="227" t="s">
        <v>812</v>
      </c>
      <c r="E19" s="228" t="s">
        <v>529</v>
      </c>
      <c r="F19" s="233">
        <f>F18/F11</f>
        <v>0.73745895567681985</v>
      </c>
      <c r="G19" s="233">
        <f t="shared" ref="G19:P19" si="2">G18/G11</f>
        <v>-0.22009472862285523</v>
      </c>
      <c r="H19" s="233">
        <f t="shared" si="2"/>
        <v>2.946768060836503</v>
      </c>
      <c r="I19" s="233">
        <f t="shared" si="2"/>
        <v>0.68276905760990492</v>
      </c>
      <c r="J19" s="233">
        <f t="shared" si="2"/>
        <v>0.49064258319427462</v>
      </c>
      <c r="K19" s="233">
        <f t="shared" si="2"/>
        <v>0.22388093461113232</v>
      </c>
      <c r="L19" s="233">
        <f t="shared" si="2"/>
        <v>0.14424686855130381</v>
      </c>
      <c r="M19" s="233">
        <f t="shared" si="2"/>
        <v>0.15780963992277916</v>
      </c>
      <c r="N19" s="233">
        <f t="shared" si="2"/>
        <v>0.18245477662045695</v>
      </c>
      <c r="O19" s="233">
        <f t="shared" si="2"/>
        <v>5.661600227018998E-2</v>
      </c>
      <c r="P19" s="233">
        <f t="shared" si="2"/>
        <v>-7.8371955403515839E-2</v>
      </c>
    </row>
    <row r="20" spans="2:16" x14ac:dyDescent="0.3">
      <c r="C20" s="227"/>
      <c r="D20" s="227" t="s">
        <v>738</v>
      </c>
      <c r="E20" s="228" t="s">
        <v>529</v>
      </c>
      <c r="F20" s="278">
        <f>Model!F47</f>
        <v>0.19203328862527738</v>
      </c>
      <c r="G20" s="278">
        <f>Model!G47</f>
        <v>-0.12602573030472849</v>
      </c>
      <c r="H20" s="278">
        <f>Model!H47</f>
        <v>1.6804167624861498E-2</v>
      </c>
      <c r="I20" s="278">
        <f>Model!I47</f>
        <v>0.15196448091538983</v>
      </c>
      <c r="J20" s="278">
        <f>Model!J47</f>
        <v>0.9164410176539266</v>
      </c>
      <c r="K20" s="278">
        <f>Model!K47</f>
        <v>0.85588273034121043</v>
      </c>
      <c r="L20" s="278">
        <f>Model!L47</f>
        <v>0.40676720096473346</v>
      </c>
      <c r="M20" s="278">
        <f>Model!M47</f>
        <v>0.22012841547372142</v>
      </c>
      <c r="N20" s="278">
        <f>Model!N47</f>
        <v>0.21255734610596888</v>
      </c>
      <c r="O20" s="278">
        <f>Model!O47</f>
        <v>0.17933984813732323</v>
      </c>
      <c r="P20" s="278">
        <f>Model!P47</f>
        <v>0.14888070393342884</v>
      </c>
    </row>
    <row r="21" spans="2:16" ht="6" customHeight="1" x14ac:dyDescent="0.3"/>
    <row r="22" spans="2:16" x14ac:dyDescent="0.3">
      <c r="B22" s="226"/>
      <c r="C22" s="246" t="s">
        <v>813</v>
      </c>
    </row>
    <row r="23" spans="2:16" x14ac:dyDescent="0.3">
      <c r="C23" s="227"/>
      <c r="D23" s="227" t="s">
        <v>814</v>
      </c>
      <c r="E23" s="228" t="s">
        <v>815</v>
      </c>
      <c r="J23" s="262">
        <v>0</v>
      </c>
      <c r="K23" s="237">
        <f>J23+1</f>
        <v>1</v>
      </c>
      <c r="L23" s="237">
        <f t="shared" ref="L23:P23" si="3">K23+1</f>
        <v>2</v>
      </c>
      <c r="M23" s="237">
        <f t="shared" si="3"/>
        <v>3</v>
      </c>
      <c r="N23" s="237">
        <f t="shared" si="3"/>
        <v>4</v>
      </c>
      <c r="O23" s="237">
        <f t="shared" si="3"/>
        <v>5</v>
      </c>
      <c r="P23" s="237">
        <f t="shared" si="3"/>
        <v>6</v>
      </c>
    </row>
    <row r="24" spans="2:16" x14ac:dyDescent="0.3">
      <c r="C24" s="227"/>
      <c r="D24" s="227" t="s">
        <v>816</v>
      </c>
      <c r="E24" s="228" t="s">
        <v>815</v>
      </c>
      <c r="K24" s="230">
        <f>K23-$F$37</f>
        <v>0.5</v>
      </c>
      <c r="L24" s="230">
        <f t="shared" ref="L24:P24" si="4">L23-$F$37</f>
        <v>1.5</v>
      </c>
      <c r="M24" s="230">
        <f t="shared" si="4"/>
        <v>2.5</v>
      </c>
      <c r="N24" s="230">
        <f t="shared" si="4"/>
        <v>3.5</v>
      </c>
      <c r="O24" s="230">
        <f t="shared" si="4"/>
        <v>4.5</v>
      </c>
      <c r="P24" s="230">
        <f t="shared" si="4"/>
        <v>5.5</v>
      </c>
    </row>
    <row r="25" spans="2:16" x14ac:dyDescent="0.3">
      <c r="C25" s="227"/>
      <c r="D25" s="227" t="s">
        <v>817</v>
      </c>
      <c r="E25" s="228" t="s">
        <v>751</v>
      </c>
      <c r="K25" s="279">
        <f>1/(1+$F$36)^K24</f>
        <v>0.94300433359178926</v>
      </c>
      <c r="L25" s="279">
        <f t="shared" ref="L25:P25" si="5">1/(1+$F$36)^L24</f>
        <v>0.8385733679796239</v>
      </c>
      <c r="M25" s="279">
        <f t="shared" si="5"/>
        <v>0.74570738270763393</v>
      </c>
      <c r="N25" s="279">
        <f t="shared" si="5"/>
        <v>0.6631256391607484</v>
      </c>
      <c r="O25" s="279">
        <f t="shared" si="5"/>
        <v>0.58968923133855622</v>
      </c>
      <c r="P25" s="279">
        <f t="shared" si="5"/>
        <v>0.52438537891062154</v>
      </c>
    </row>
    <row r="26" spans="2:16" x14ac:dyDescent="0.3">
      <c r="C26" s="226"/>
      <c r="D26" s="226" t="s">
        <v>818</v>
      </c>
      <c r="E26" s="231" t="s">
        <v>505</v>
      </c>
      <c r="K26" s="232">
        <f>K15*K25</f>
        <v>70020.106614520788</v>
      </c>
      <c r="L26" s="232">
        <f t="shared" ref="L26:P26" si="6">L15*L25</f>
        <v>34662.693894743919</v>
      </c>
      <c r="M26" s="232">
        <f t="shared" si="6"/>
        <v>17007.348178359432</v>
      </c>
      <c r="N26" s="232">
        <f t="shared" si="6"/>
        <v>14748.357708891048</v>
      </c>
      <c r="O26" s="232">
        <f t="shared" si="6"/>
        <v>12899.729054441419</v>
      </c>
      <c r="P26" s="232">
        <f t="shared" si="6"/>
        <v>10759.983793985375</v>
      </c>
    </row>
    <row r="27" spans="2:16" ht="12.75" customHeight="1" x14ac:dyDescent="0.3"/>
    <row r="29" spans="2:16" ht="12.75" customHeight="1" x14ac:dyDescent="0.3">
      <c r="P29" s="219"/>
    </row>
    <row r="30" spans="2:16" ht="22.8" customHeight="1" x14ac:dyDescent="0.45"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</row>
    <row r="31" spans="2:16" ht="17.399999999999999" customHeight="1" x14ac:dyDescent="0.35">
      <c r="B31" s="221" t="s">
        <v>819</v>
      </c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</row>
    <row r="32" spans="2:16" ht="3" customHeight="1" x14ac:dyDescent="0.35"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</row>
    <row r="33" spans="2:7" ht="12.75" customHeight="1" x14ac:dyDescent="0.3"/>
    <row r="34" spans="2:7" x14ac:dyDescent="0.3">
      <c r="E34" s="225" t="s">
        <v>107</v>
      </c>
      <c r="F34" s="264" t="s">
        <v>190</v>
      </c>
    </row>
    <row r="35" spans="2:7" x14ac:dyDescent="0.3">
      <c r="B35" s="226"/>
      <c r="C35" s="246" t="s">
        <v>820</v>
      </c>
    </row>
    <row r="36" spans="2:7" x14ac:dyDescent="0.3">
      <c r="C36" s="227"/>
      <c r="D36" s="227" t="s">
        <v>42</v>
      </c>
      <c r="E36" s="228" t="s">
        <v>529</v>
      </c>
      <c r="F36" s="272">
        <f>WACC!F34</f>
        <v>0.12453408324160252</v>
      </c>
    </row>
    <row r="37" spans="2:7" x14ac:dyDescent="0.3">
      <c r="C37" s="227"/>
      <c r="D37" s="227" t="s">
        <v>821</v>
      </c>
      <c r="E37" s="228" t="s">
        <v>815</v>
      </c>
      <c r="F37" s="273">
        <f>Assumptions!K93</f>
        <v>0.5</v>
      </c>
    </row>
    <row r="38" spans="2:7" x14ac:dyDescent="0.3">
      <c r="C38" s="227"/>
      <c r="D38" s="227" t="s">
        <v>822</v>
      </c>
      <c r="E38" s="228" t="s">
        <v>751</v>
      </c>
      <c r="F38" s="271">
        <f>MEDIAN('Raw Data'!D172:H172)</f>
        <v>7.77</v>
      </c>
    </row>
    <row r="39" spans="2:7" ht="6" customHeight="1" x14ac:dyDescent="0.3"/>
    <row r="40" spans="2:7" x14ac:dyDescent="0.3">
      <c r="B40" s="226"/>
      <c r="C40" s="246" t="s">
        <v>823</v>
      </c>
    </row>
    <row r="41" spans="2:7" x14ac:dyDescent="0.3">
      <c r="C41" s="227"/>
      <c r="D41" s="227" t="s">
        <v>824</v>
      </c>
      <c r="E41" s="228" t="s">
        <v>529</v>
      </c>
      <c r="F41" s="270">
        <f>AVERAGE(N19:P19)</f>
        <v>5.3566274495710366E-2</v>
      </c>
    </row>
    <row r="42" spans="2:7" x14ac:dyDescent="0.3">
      <c r="C42" s="227"/>
      <c r="D42" s="227" t="s">
        <v>825</v>
      </c>
      <c r="E42" s="228" t="s">
        <v>529</v>
      </c>
      <c r="F42" s="270">
        <f>AVERAGE(N20:P20)</f>
        <v>0.18025929939224031</v>
      </c>
    </row>
    <row r="43" spans="2:7" x14ac:dyDescent="0.3">
      <c r="C43" s="227"/>
      <c r="D43" s="227" t="s">
        <v>826</v>
      </c>
      <c r="E43" s="228" t="s">
        <v>529</v>
      </c>
      <c r="F43" s="270">
        <f>F41*F42</f>
        <v>9.6558191116491807E-3</v>
      </c>
    </row>
    <row r="44" spans="2:7" x14ac:dyDescent="0.3">
      <c r="C44" s="227"/>
      <c r="D44" s="227" t="s">
        <v>827</v>
      </c>
      <c r="E44" s="228" t="s">
        <v>529</v>
      </c>
      <c r="F44" s="272">
        <f>'Raw Data'!D187</f>
        <v>4.9700000000000001E-2</v>
      </c>
    </row>
    <row r="45" spans="2:7" x14ac:dyDescent="0.3">
      <c r="C45" s="226"/>
      <c r="D45" s="226" t="s">
        <v>828</v>
      </c>
      <c r="E45" s="231" t="s">
        <v>529</v>
      </c>
      <c r="F45" s="276">
        <f>MIN(F43,F44)</f>
        <v>9.6558191116491807E-3</v>
      </c>
    </row>
    <row r="46" spans="2:7" ht="6" customHeight="1" x14ac:dyDescent="0.3"/>
    <row r="47" spans="2:7" x14ac:dyDescent="0.3">
      <c r="B47" s="226"/>
      <c r="C47" s="246" t="s">
        <v>829</v>
      </c>
    </row>
    <row r="48" spans="2:7" x14ac:dyDescent="0.3">
      <c r="F48" s="223" t="s">
        <v>830</v>
      </c>
      <c r="G48" s="223" t="s">
        <v>831</v>
      </c>
    </row>
    <row r="49" spans="2:7" x14ac:dyDescent="0.3">
      <c r="C49" s="227"/>
      <c r="D49" s="227" t="s">
        <v>832</v>
      </c>
      <c r="E49" s="228" t="s">
        <v>505</v>
      </c>
      <c r="F49" s="237">
        <f>P11</f>
        <v>19027.970011429665</v>
      </c>
      <c r="G49" s="237">
        <f>P10</f>
        <v>46116.363517219943</v>
      </c>
    </row>
    <row r="50" spans="2:7" x14ac:dyDescent="0.3">
      <c r="C50" s="227"/>
      <c r="D50" s="227" t="s">
        <v>833</v>
      </c>
      <c r="E50" s="228" t="s">
        <v>505</v>
      </c>
      <c r="F50" s="237">
        <f>F49*(1+F45)*(1-F45/F42)</f>
        <v>18182.601417485912</v>
      </c>
    </row>
    <row r="51" spans="2:7" x14ac:dyDescent="0.3">
      <c r="C51" s="227"/>
      <c r="D51" s="227" t="s">
        <v>831</v>
      </c>
      <c r="E51" s="228" t="s">
        <v>751</v>
      </c>
      <c r="G51" s="271">
        <f>F38</f>
        <v>7.77</v>
      </c>
    </row>
    <row r="52" spans="2:7" x14ac:dyDescent="0.3">
      <c r="C52" s="226"/>
      <c r="D52" s="226" t="s">
        <v>834</v>
      </c>
      <c r="E52" s="231" t="s">
        <v>505</v>
      </c>
      <c r="F52" s="232">
        <f>F50/(F36-F45)</f>
        <v>158277.12540047849</v>
      </c>
      <c r="G52" s="232">
        <f>G49*G51</f>
        <v>358324.14452879893</v>
      </c>
    </row>
    <row r="53" spans="2:7" x14ac:dyDescent="0.3">
      <c r="C53" s="227"/>
      <c r="D53" s="227" t="s">
        <v>835</v>
      </c>
      <c r="E53" s="228" t="s">
        <v>751</v>
      </c>
      <c r="F53" s="279">
        <f>1/(1+$F$36)^$P$23</f>
        <v>0.49449768478488865</v>
      </c>
      <c r="G53" s="279">
        <f>1/(1+$F$36)^$P$23</f>
        <v>0.49449768478488865</v>
      </c>
    </row>
    <row r="54" spans="2:7" x14ac:dyDescent="0.3">
      <c r="C54" s="226"/>
      <c r="D54" s="226" t="s">
        <v>836</v>
      </c>
      <c r="E54" s="231" t="s">
        <v>505</v>
      </c>
      <c r="F54" s="232">
        <f>F52*F53</f>
        <v>78267.672064944098</v>
      </c>
      <c r="G54" s="232">
        <f>G52*G53</f>
        <v>177190.45987201689</v>
      </c>
    </row>
    <row r="55" spans="2:7" ht="6" customHeight="1" x14ac:dyDescent="0.3"/>
    <row r="56" spans="2:7" x14ac:dyDescent="0.3">
      <c r="B56" s="226"/>
      <c r="C56" s="246" t="s">
        <v>837</v>
      </c>
    </row>
    <row r="57" spans="2:7" x14ac:dyDescent="0.3">
      <c r="C57" s="227"/>
      <c r="D57" s="227" t="s">
        <v>838</v>
      </c>
      <c r="E57" s="228" t="s">
        <v>505</v>
      </c>
      <c r="F57" s="237">
        <f>SUM($K$26:$P$26)</f>
        <v>160098.21924494195</v>
      </c>
      <c r="G57" s="237">
        <f>SUM($K$26:$P$26)</f>
        <v>160098.21924494195</v>
      </c>
    </row>
    <row r="58" spans="2:7" x14ac:dyDescent="0.3">
      <c r="C58" s="227"/>
      <c r="D58" s="227" t="s">
        <v>836</v>
      </c>
      <c r="E58" s="228" t="s">
        <v>505</v>
      </c>
      <c r="F58" s="237">
        <f>F54</f>
        <v>78267.672064944098</v>
      </c>
      <c r="G58" s="237">
        <f>G54</f>
        <v>177190.45987201689</v>
      </c>
    </row>
    <row r="59" spans="2:7" x14ac:dyDescent="0.3">
      <c r="C59" s="226"/>
      <c r="D59" s="226" t="s">
        <v>65</v>
      </c>
      <c r="E59" s="231" t="s">
        <v>505</v>
      </c>
      <c r="F59" s="232">
        <f>F57+F58</f>
        <v>238365.89130988606</v>
      </c>
      <c r="G59" s="232">
        <f>G57+G58</f>
        <v>337288.67911695887</v>
      </c>
    </row>
    <row r="60" spans="2:7" x14ac:dyDescent="0.3">
      <c r="C60" s="227"/>
      <c r="D60" s="227" t="s">
        <v>839</v>
      </c>
      <c r="E60" s="228" t="s">
        <v>505</v>
      </c>
      <c r="F60" s="238">
        <f>Schedules!$J$334+Schedules!$J$335+Schedules!$J$342</f>
        <v>51518.481283996109</v>
      </c>
      <c r="G60" s="238">
        <f>Schedules!$J$334+Schedules!$J$335+Schedules!$J$342</f>
        <v>51518.481283996109</v>
      </c>
    </row>
    <row r="61" spans="2:7" x14ac:dyDescent="0.3">
      <c r="C61" s="227"/>
      <c r="D61" s="227" t="s">
        <v>840</v>
      </c>
      <c r="E61" s="228" t="s">
        <v>505</v>
      </c>
      <c r="F61" s="238">
        <f>-Schedules!$J$351</f>
        <v>-5722</v>
      </c>
      <c r="G61" s="238">
        <f>-Schedules!$J$351</f>
        <v>-5722</v>
      </c>
    </row>
    <row r="62" spans="2:7" x14ac:dyDescent="0.3">
      <c r="C62" s="226"/>
      <c r="D62" s="226" t="s">
        <v>66</v>
      </c>
      <c r="E62" s="231" t="s">
        <v>505</v>
      </c>
      <c r="F62" s="232">
        <f>SUM(F59:F61)</f>
        <v>284162.37259388214</v>
      </c>
      <c r="G62" s="232">
        <f>SUM(G59:G61)</f>
        <v>383085.16040095501</v>
      </c>
    </row>
    <row r="63" spans="2:7" x14ac:dyDescent="0.3">
      <c r="C63" s="227"/>
      <c r="D63" s="227" t="s">
        <v>841</v>
      </c>
      <c r="E63" s="228" t="s">
        <v>548</v>
      </c>
      <c r="F63" s="238">
        <f>Schedules!$J$285</f>
        <v>1150</v>
      </c>
      <c r="G63" s="238">
        <f>Schedules!$J$285</f>
        <v>1150</v>
      </c>
    </row>
    <row r="64" spans="2:7" x14ac:dyDescent="0.3">
      <c r="C64" s="226"/>
      <c r="D64" s="226" t="s">
        <v>842</v>
      </c>
      <c r="E64" s="231" t="s">
        <v>550</v>
      </c>
      <c r="F64" s="280">
        <f>F62/F63</f>
        <v>247.09771529902795</v>
      </c>
      <c r="G64" s="280">
        <f>G62/G63</f>
        <v>333.11753078343912</v>
      </c>
    </row>
    <row r="65" spans="2:7" x14ac:dyDescent="0.3">
      <c r="C65" s="227"/>
      <c r="D65" s="227" t="s">
        <v>843</v>
      </c>
      <c r="E65" s="228" t="s">
        <v>550</v>
      </c>
      <c r="F65" s="241">
        <f>Model!$J$54</f>
        <v>927.6</v>
      </c>
      <c r="G65" s="241">
        <f>Model!$J$54</f>
        <v>927.6</v>
      </c>
    </row>
    <row r="66" spans="2:7" x14ac:dyDescent="0.3">
      <c r="C66" s="226"/>
      <c r="D66" s="226" t="s">
        <v>844</v>
      </c>
      <c r="E66" s="231" t="s">
        <v>529</v>
      </c>
      <c r="F66" s="276">
        <f>F64/F65-1</f>
        <v>-0.73361608958707636</v>
      </c>
      <c r="G66" s="276">
        <f>G64/G65-1</f>
        <v>-0.64088235146244166</v>
      </c>
    </row>
    <row r="67" spans="2:7" ht="6" customHeight="1" x14ac:dyDescent="0.3"/>
    <row r="68" spans="2:7" x14ac:dyDescent="0.3">
      <c r="B68" s="226"/>
      <c r="C68" s="246" t="s">
        <v>845</v>
      </c>
    </row>
    <row r="69" spans="2:7" x14ac:dyDescent="0.3">
      <c r="C69" s="227"/>
      <c r="D69" s="227" t="s">
        <v>846</v>
      </c>
      <c r="E69" s="228" t="s">
        <v>529</v>
      </c>
      <c r="F69" s="270">
        <f>F58/F59</f>
        <v>0.32835097183930861</v>
      </c>
      <c r="G69" s="270">
        <f>G58/G59</f>
        <v>0.52533770281265202</v>
      </c>
    </row>
    <row r="70" spans="2:7" x14ac:dyDescent="0.3">
      <c r="C70" s="227"/>
      <c r="D70" s="227" t="s">
        <v>847</v>
      </c>
      <c r="E70" s="228" t="s">
        <v>751</v>
      </c>
      <c r="F70" s="271">
        <f>F52/$P$10</f>
        <v>3.4321250274076247</v>
      </c>
      <c r="G70" s="271">
        <f>G52/$P$10</f>
        <v>7.77</v>
      </c>
    </row>
    <row r="71" spans="2:7" x14ac:dyDescent="0.3">
      <c r="C71" s="227"/>
      <c r="D71" s="227" t="s">
        <v>848</v>
      </c>
      <c r="E71" s="228" t="s">
        <v>529</v>
      </c>
      <c r="F71" s="270">
        <f>F45</f>
        <v>9.6558191116491807E-3</v>
      </c>
      <c r="G71" s="270">
        <f>(G52*$F$36-$P$15)/(G52+$P$15)</f>
        <v>6.3626134923709457E-2</v>
      </c>
    </row>
    <row r="72" spans="2:7" ht="6" customHeight="1" x14ac:dyDescent="0.3"/>
    <row r="73" spans="2:7" x14ac:dyDescent="0.3">
      <c r="B73" s="226"/>
      <c r="C73" s="246" t="s">
        <v>849</v>
      </c>
    </row>
    <row r="74" spans="2:7" x14ac:dyDescent="0.3">
      <c r="C74" s="227"/>
      <c r="D74" s="227" t="s">
        <v>850</v>
      </c>
      <c r="E74" s="228" t="s">
        <v>505</v>
      </c>
      <c r="F74" s="237">
        <f>F65*F63</f>
        <v>1066740</v>
      </c>
    </row>
    <row r="75" spans="2:7" x14ac:dyDescent="0.3">
      <c r="C75" s="227"/>
      <c r="D75" s="227" t="s">
        <v>851</v>
      </c>
      <c r="E75" s="228" t="s">
        <v>505</v>
      </c>
      <c r="F75" s="237">
        <f>F74-F60-F61</f>
        <v>1020943.5187160039</v>
      </c>
    </row>
    <row r="76" spans="2:7" x14ac:dyDescent="0.3">
      <c r="C76" s="227"/>
      <c r="D76" s="227" t="s">
        <v>852</v>
      </c>
      <c r="E76" s="228" t="s">
        <v>505</v>
      </c>
      <c r="F76" s="237">
        <f>-F57</f>
        <v>-160098.21924494195</v>
      </c>
    </row>
    <row r="77" spans="2:7" x14ac:dyDescent="0.3">
      <c r="C77" s="227"/>
      <c r="D77" s="227" t="s">
        <v>853</v>
      </c>
      <c r="E77" s="228" t="s">
        <v>505</v>
      </c>
      <c r="F77" s="237">
        <f>(F75+F76)/F53</f>
        <v>1740847.9876817584</v>
      </c>
    </row>
    <row r="78" spans="2:7" x14ac:dyDescent="0.3">
      <c r="C78" s="226"/>
      <c r="D78" s="226" t="s">
        <v>854</v>
      </c>
      <c r="E78" s="231" t="s">
        <v>529</v>
      </c>
      <c r="F78" s="276">
        <f>(F77*F36-P15)/(F77+P15)</f>
        <v>0.11143370734732046</v>
      </c>
    </row>
    <row r="79" spans="2:7" x14ac:dyDescent="0.3">
      <c r="C79" s="226"/>
      <c r="D79" s="226" t="s">
        <v>855</v>
      </c>
      <c r="E79" s="231" t="s">
        <v>751</v>
      </c>
      <c r="F79" s="277">
        <f>F77/P10</f>
        <v>37.749029951846097</v>
      </c>
    </row>
    <row r="80" spans="2:7" ht="12.75" customHeight="1" x14ac:dyDescent="0.3"/>
  </sheetData>
  <pageMargins left="0.25" right="0.25" top="0.25" bottom="0.5" header="0.3" footer="0.3"/>
  <pageSetup fitToHeight="0" orientation="landscape"/>
  <headerFooter>
    <oddFooter>&amp;CPage &amp;P of &amp;N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B537-4D7E-44F6-859E-B901183631BF}">
  <sheetPr>
    <tabColor theme="2" tint="-0.749992370372631"/>
    <pageSetUpPr fitToPage="1"/>
  </sheetPr>
  <dimension ref="B1:P45"/>
  <sheetViews>
    <sheetView showGridLines="0" workbookViewId="0"/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42.77734375" customWidth="1"/>
    <col min="5" max="5" width="9.6640625" customWidth="1"/>
    <col min="6" max="16" width="13.33203125" customWidth="1"/>
  </cols>
  <sheetData>
    <row r="1" spans="2:16" s="282" customFormat="1" ht="12.75" customHeight="1" x14ac:dyDescent="0.3">
      <c r="P1" s="219"/>
    </row>
    <row r="2" spans="2:16" s="282" customFormat="1" ht="22.8" customHeight="1" x14ac:dyDescent="0.4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2:16" s="282" customFormat="1" ht="17.399999999999999" customHeight="1" x14ac:dyDescent="0.35">
      <c r="B3" s="221" t="s">
        <v>892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2:16" s="282" customFormat="1" ht="3" customHeight="1" thickBot="1" x14ac:dyDescent="0.4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</row>
    <row r="5" spans="2:16" s="282" customFormat="1" ht="12.75" customHeight="1" x14ac:dyDescent="0.3">
      <c r="B5" s="294" t="s">
        <v>893</v>
      </c>
    </row>
    <row r="6" spans="2:16" s="282" customFormat="1" x14ac:dyDescent="0.3">
      <c r="E6" s="225"/>
      <c r="F6" s="264"/>
    </row>
    <row r="7" spans="2:16" ht="27" customHeight="1" x14ac:dyDescent="0.3">
      <c r="B7" s="9"/>
      <c r="C7" s="9"/>
      <c r="D7" s="297" t="s">
        <v>130</v>
      </c>
      <c r="E7" s="297" t="s">
        <v>894</v>
      </c>
      <c r="F7" s="296" t="s">
        <v>895</v>
      </c>
      <c r="G7" s="296" t="s">
        <v>896</v>
      </c>
      <c r="H7" s="296" t="s">
        <v>897</v>
      </c>
      <c r="I7" s="296" t="s">
        <v>898</v>
      </c>
      <c r="J7" s="296" t="s">
        <v>899</v>
      </c>
      <c r="K7" s="296" t="s">
        <v>900</v>
      </c>
      <c r="L7" s="296" t="s">
        <v>901</v>
      </c>
      <c r="M7" s="296" t="s">
        <v>755</v>
      </c>
      <c r="N7" s="296" t="s">
        <v>754</v>
      </c>
      <c r="O7" s="296" t="s">
        <v>750</v>
      </c>
      <c r="P7" s="296" t="s">
        <v>902</v>
      </c>
    </row>
    <row r="8" spans="2:16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2:16" x14ac:dyDescent="0.3">
      <c r="B9" s="9"/>
      <c r="C9" s="298" t="s">
        <v>903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2:16" x14ac:dyDescent="0.3">
      <c r="B10" s="9"/>
      <c r="C10" s="9"/>
      <c r="D10" s="299" t="str">
        <f>'Raw Data'!B201&amp;" ("&amp;'Raw Data'!C201&amp;")"</f>
        <v>Samsung Electronics (005930.KS)</v>
      </c>
      <c r="E10" s="300" t="s">
        <v>877</v>
      </c>
      <c r="F10" s="301">
        <f>'Raw Data'!$D$214</f>
        <v>1361.84</v>
      </c>
      <c r="G10" s="303">
        <f>'Raw Data'!F201/F10</f>
        <v>1165605.5777477531</v>
      </c>
      <c r="H10" s="303">
        <f>'Raw Data'!G201/F10</f>
        <v>-123061.4462785643</v>
      </c>
      <c r="I10" s="303">
        <f>'Raw Data'!H201/F10</f>
        <v>1042544.1314691888</v>
      </c>
      <c r="J10" s="303">
        <f>'Raw Data'!J201/F10</f>
        <v>356334.07742466079</v>
      </c>
      <c r="K10" s="303">
        <f>'Raw Data'!K201/F10</f>
        <v>166774.36409563533</v>
      </c>
      <c r="L10" s="304">
        <f t="shared" ref="L10:L15" si="0">K10/J10</f>
        <v>0.46802810806355227</v>
      </c>
      <c r="M10" s="305">
        <f t="shared" ref="M10:M15" si="1">I10/J10</f>
        <v>2.9257491705648402</v>
      </c>
      <c r="N10" s="305">
        <f t="shared" ref="N10:N15" si="2">I10/K10</f>
        <v>6.2512253434307858</v>
      </c>
      <c r="O10" s="306">
        <f>IF('Raw Data'!L201&lt;=0,"n.m.",'Raw Data'!D201/'Raw Data'!L201)</f>
        <v>12.197606127763176</v>
      </c>
      <c r="P10" s="305">
        <f>'Raw Data'!F201/'Raw Data'!M201</f>
        <v>2.7401016726795673</v>
      </c>
    </row>
    <row r="11" spans="2:16" x14ac:dyDescent="0.3">
      <c r="B11" s="9"/>
      <c r="C11" s="9"/>
      <c r="D11" s="299" t="str">
        <f>'Raw Data'!B202&amp;" ("&amp;'Raw Data'!C202&amp;")"</f>
        <v>SK hynix (000660.KS)</v>
      </c>
      <c r="E11" s="300" t="s">
        <v>877</v>
      </c>
      <c r="F11" s="301">
        <f>'Raw Data'!$D$214</f>
        <v>1361.84</v>
      </c>
      <c r="G11" s="303">
        <f>'Raw Data'!F202/F11</f>
        <v>904504.42048992543</v>
      </c>
      <c r="H11" s="303">
        <f>'Raw Data'!G202/F11</f>
        <v>-49102.68460318393</v>
      </c>
      <c r="I11" s="303">
        <f>'Raw Data'!H202/F11</f>
        <v>855401.73588674155</v>
      </c>
      <c r="J11" s="303">
        <f>'Raw Data'!J202/F11</f>
        <v>138907.65434999706</v>
      </c>
      <c r="K11" s="303">
        <f>'Raw Data'!K202/F11</f>
        <v>105445.5736356694</v>
      </c>
      <c r="L11" s="304">
        <f t="shared" si="0"/>
        <v>0.7591055664217371</v>
      </c>
      <c r="M11" s="305">
        <f t="shared" si="1"/>
        <v>6.1580604747052927</v>
      </c>
      <c r="N11" s="305">
        <f t="shared" si="2"/>
        <v>8.1122583565459614</v>
      </c>
      <c r="O11" s="306">
        <f>IF('Raw Data'!L202&lt;=0,"n.m.",'Raw Data'!D202/'Raw Data'!L202)</f>
        <v>7.4256892819182712</v>
      </c>
      <c r="P11" s="305">
        <f>'Raw Data'!F202/'Raw Data'!M202</f>
        <v>4.68914043168754</v>
      </c>
    </row>
    <row r="12" spans="2:16" x14ac:dyDescent="0.3">
      <c r="B12" s="9"/>
      <c r="C12" s="9"/>
      <c r="D12" s="299" t="str">
        <f>'Raw Data'!B203&amp;" ("&amp;'Raw Data'!C203&amp;")"</f>
        <v>Western Digital (WDC)</v>
      </c>
      <c r="E12" s="300" t="s">
        <v>136</v>
      </c>
      <c r="F12" s="301">
        <f>'Raw Data'!$D$216</f>
        <v>1</v>
      </c>
      <c r="G12" s="303">
        <f>'Raw Data'!F203/F12</f>
        <v>154204.86719999998</v>
      </c>
      <c r="H12" s="303">
        <f>'Raw Data'!G203/F12</f>
        <v>-388</v>
      </c>
      <c r="I12" s="303">
        <f>'Raw Data'!H203/F12</f>
        <v>153816.86719999998</v>
      </c>
      <c r="J12" s="303">
        <f>'Raw Data'!J203/F12</f>
        <v>12920</v>
      </c>
      <c r="K12" s="303">
        <f>'Raw Data'!K203/F12</f>
        <v>5000</v>
      </c>
      <c r="L12" s="304">
        <f t="shared" si="0"/>
        <v>0.38699690402476783</v>
      </c>
      <c r="M12" s="305">
        <f t="shared" si="1"/>
        <v>11.90533027863777</v>
      </c>
      <c r="N12" s="305">
        <f t="shared" si="2"/>
        <v>30.763373439999995</v>
      </c>
      <c r="O12" s="306">
        <f>IF('Raw Data'!L203&lt;=0,"n.m.",'Raw Data'!D203/'Raw Data'!L203)</f>
        <v>16.967051070840196</v>
      </c>
      <c r="P12" s="305">
        <f>'Raw Data'!F203/'Raw Data'!M203</f>
        <v>17.404612550790066</v>
      </c>
    </row>
    <row r="13" spans="2:16" x14ac:dyDescent="0.3">
      <c r="B13" s="9"/>
      <c r="C13" s="9"/>
      <c r="D13" s="299" t="str">
        <f>'Raw Data'!B204&amp;" ("&amp;'Raw Data'!C204&amp;")"</f>
        <v>SanDisk (SNDK)</v>
      </c>
      <c r="E13" s="300" t="s">
        <v>136</v>
      </c>
      <c r="F13" s="301">
        <f>'Raw Data'!$D$216</f>
        <v>1</v>
      </c>
      <c r="G13" s="303">
        <f>'Raw Data'!F204/F13</f>
        <v>224154.378</v>
      </c>
      <c r="H13" s="303">
        <f>'Raw Data'!G204/F13</f>
        <v>-6340</v>
      </c>
      <c r="I13" s="303">
        <f>'Raw Data'!H204/F13</f>
        <v>217814.378</v>
      </c>
      <c r="J13" s="303">
        <f>'Raw Data'!J204/F13</f>
        <v>20250</v>
      </c>
      <c r="K13" s="303">
        <f>'Raw Data'!K204/F13</f>
        <v>12620</v>
      </c>
      <c r="L13" s="304">
        <f t="shared" si="0"/>
        <v>0.62320987654320992</v>
      </c>
      <c r="M13" s="305">
        <f t="shared" si="1"/>
        <v>10.756265580246913</v>
      </c>
      <c r="N13" s="305">
        <f t="shared" si="2"/>
        <v>17.259459429477019</v>
      </c>
      <c r="O13" s="306">
        <f>IF('Raw Data'!L204&lt;=0,"n.m.",'Raw Data'!D204/'Raw Data'!L204)</f>
        <v>20.755151843817789</v>
      </c>
      <c r="P13" s="305">
        <f>'Raw Data'!F204/'Raw Data'!M204</f>
        <v>14.241065946632782</v>
      </c>
    </row>
    <row r="14" spans="2:16" x14ac:dyDescent="0.3">
      <c r="B14" s="9"/>
      <c r="C14" s="9"/>
      <c r="D14" s="299" t="str">
        <f>'Raw Data'!B205&amp;" ("&amp;'Raw Data'!C205&amp;")"</f>
        <v>Kioxia Holdings (285A.T)</v>
      </c>
      <c r="E14" s="300" t="s">
        <v>880</v>
      </c>
      <c r="F14" s="301">
        <f>'Raw Data'!$D$215</f>
        <v>155.11000000000001</v>
      </c>
      <c r="G14" s="303">
        <f>'Raw Data'!F205/F14</f>
        <v>182842.66004770805</v>
      </c>
      <c r="H14" s="303">
        <f>'Raw Data'!G205/F14</f>
        <v>271.22687125265941</v>
      </c>
      <c r="I14" s="303">
        <f>'Raw Data'!H205/F14</f>
        <v>183113.88691896072</v>
      </c>
      <c r="J14" s="303">
        <f>'Raw Data'!J205/F14</f>
        <v>24240.861324221518</v>
      </c>
      <c r="K14" s="303">
        <f>'Raw Data'!K205/F14</f>
        <v>15279.479079363031</v>
      </c>
      <c r="L14" s="304">
        <f t="shared" si="0"/>
        <v>0.63031914893617025</v>
      </c>
      <c r="M14" s="305">
        <f t="shared" si="1"/>
        <v>7.5539348404255318</v>
      </c>
      <c r="N14" s="305">
        <f t="shared" si="2"/>
        <v>11.984301687763713</v>
      </c>
      <c r="O14" s="306">
        <f>IF('Raw Data'!L205&lt;=0,"n.m.",'Raw Data'!D205/'Raw Data'!L205)</f>
        <v>20.727443134710356</v>
      </c>
      <c r="P14" s="305">
        <f>'Raw Data'!F205/'Raw Data'!M205</f>
        <v>11.816968749999999</v>
      </c>
    </row>
    <row r="15" spans="2:16" x14ac:dyDescent="0.3">
      <c r="B15" s="9"/>
      <c r="C15" s="9"/>
      <c r="D15" s="299" t="str">
        <f>'Raw Data'!B206&amp;" ("&amp;'Raw Data'!C206&amp;")"</f>
        <v>Seagate Technology (STX)</v>
      </c>
      <c r="E15" s="300" t="s">
        <v>136</v>
      </c>
      <c r="F15" s="301">
        <f>'Raw Data'!$D$216</f>
        <v>1</v>
      </c>
      <c r="G15" s="303">
        <f>'Raw Data'!F206/F15</f>
        <v>175501.87589999998</v>
      </c>
      <c r="H15" s="303">
        <f>'Raw Data'!G206/F15</f>
        <v>2190</v>
      </c>
      <c r="I15" s="303">
        <f>'Raw Data'!H206/F15</f>
        <v>177691.87589999998</v>
      </c>
      <c r="J15" s="303">
        <f>'Raw Data'!J206/F15</f>
        <v>12200</v>
      </c>
      <c r="K15" s="303">
        <f>'Raw Data'!K206/F15</f>
        <v>4500</v>
      </c>
      <c r="L15" s="304">
        <f t="shared" si="0"/>
        <v>0.36885245901639346</v>
      </c>
      <c r="M15" s="305">
        <f t="shared" si="1"/>
        <v>14.564907860655737</v>
      </c>
      <c r="N15" s="305">
        <f t="shared" si="2"/>
        <v>39.487083533333333</v>
      </c>
      <c r="O15" s="306">
        <f>IF('Raw Data'!L206&lt;=0,"n.m.",'Raw Data'!D206/'Raw Data'!L206)</f>
        <v>55.525899280575537</v>
      </c>
      <c r="P15" s="305">
        <f>'Raw Data'!F206/'Raw Data'!M206</f>
        <v>80.876440506912431</v>
      </c>
    </row>
    <row r="16" spans="2:16" x14ac:dyDescent="0.3">
      <c r="B16" s="9"/>
      <c r="C16" s="9"/>
      <c r="D16" s="308" t="s">
        <v>905</v>
      </c>
      <c r="E16" s="309"/>
      <c r="F16" s="309"/>
      <c r="G16" s="309"/>
      <c r="H16" s="309"/>
      <c r="I16" s="309"/>
      <c r="J16" s="309"/>
      <c r="K16" s="309"/>
      <c r="L16" s="310">
        <f>MEDIAN(L10:L15)</f>
        <v>0.54561899230338107</v>
      </c>
      <c r="M16" s="311">
        <f>MEDIAN(M10:M15)</f>
        <v>9.1551002103362222</v>
      </c>
      <c r="N16" s="311">
        <f>MEDIAN(N10:N15)</f>
        <v>14.621880558620365</v>
      </c>
      <c r="O16" s="311">
        <f>MEDIAN(O10:O15)</f>
        <v>18.847247102775277</v>
      </c>
      <c r="P16" s="311">
        <f>MEDIAN(P10:P15)</f>
        <v>13.02901734831639</v>
      </c>
    </row>
    <row r="17" spans="2:16" x14ac:dyDescent="0.3">
      <c r="B17" s="9"/>
      <c r="C17" s="9"/>
      <c r="D17" s="9" t="s">
        <v>906</v>
      </c>
      <c r="E17" s="9"/>
      <c r="F17" s="9"/>
      <c r="G17" s="9"/>
      <c r="H17" s="9"/>
      <c r="I17" s="9"/>
      <c r="J17" s="9"/>
      <c r="K17" s="9"/>
      <c r="L17" s="304">
        <f>_xlfn.QUARTILE.INC(L10:L15,1)</f>
        <v>0.40725470503446393</v>
      </c>
      <c r="M17" s="305">
        <f>_xlfn.QUARTILE.INC(M10:M15,1)</f>
        <v>6.5070290661353525</v>
      </c>
      <c r="N17" s="305">
        <f>_xlfn.QUARTILE.INC(N10:N15,1)</f>
        <v>9.0802691893503997</v>
      </c>
      <c r="O17" s="305">
        <f>_xlfn.QUARTILE.INC(O10:O15,1)</f>
        <v>13.389967363532431</v>
      </c>
      <c r="P17" s="305">
        <f>_xlfn.QUARTILE.INC(P10:P15,1)</f>
        <v>6.471097511265655</v>
      </c>
    </row>
    <row r="18" spans="2:16" x14ac:dyDescent="0.3">
      <c r="B18" s="9"/>
      <c r="C18" s="9"/>
      <c r="D18" s="9" t="s">
        <v>907</v>
      </c>
      <c r="E18" s="9"/>
      <c r="F18" s="9"/>
      <c r="G18" s="9"/>
      <c r="H18" s="9"/>
      <c r="I18" s="9"/>
      <c r="J18" s="9"/>
      <c r="K18" s="9"/>
      <c r="L18" s="304">
        <f>_xlfn.QUARTILE.INC(L10:L15,3)</f>
        <v>0.62854183083793014</v>
      </c>
      <c r="M18" s="305">
        <f>_xlfn.QUARTILE.INC(M10:M15,3)</f>
        <v>11.618064104040055</v>
      </c>
      <c r="N18" s="305">
        <f>_xlfn.QUARTILE.INC(N10:N15,3)</f>
        <v>27.387394937369251</v>
      </c>
      <c r="O18" s="305">
        <f>_xlfn.QUARTILE.INC(O10:O15,3)</f>
        <v>20.748224666540931</v>
      </c>
      <c r="P18" s="305">
        <f>_xlfn.QUARTILE.INC(P10:P15,3)</f>
        <v>16.613725899750744</v>
      </c>
    </row>
    <row r="19" spans="2:16" x14ac:dyDescent="0.3">
      <c r="B19" s="9"/>
      <c r="C19" s="9"/>
      <c r="D19" s="312" t="s">
        <v>908</v>
      </c>
      <c r="E19" s="9"/>
      <c r="F19" s="9"/>
      <c r="G19" s="9"/>
      <c r="H19" s="9"/>
      <c r="I19" s="9"/>
      <c r="J19" s="9"/>
      <c r="K19" s="9"/>
      <c r="L19" s="313">
        <f>AVERAGE(L10:L11)</f>
        <v>0.61356683724264471</v>
      </c>
      <c r="M19" s="314">
        <f>AVERAGE(M10:M11)</f>
        <v>4.5419048226350665</v>
      </c>
      <c r="N19" s="314">
        <f>AVERAGE(N10:N11)</f>
        <v>7.1817418499883736</v>
      </c>
      <c r="O19" s="314">
        <f>AVERAGE(O10:O11)</f>
        <v>9.8116477048407233</v>
      </c>
      <c r="P19" s="314">
        <f>AVERAGE(P10:P11)</f>
        <v>3.7146210521835537</v>
      </c>
    </row>
    <row r="20" spans="2:16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16" x14ac:dyDescent="0.3">
      <c r="B21" s="9"/>
      <c r="C21" s="298" t="s">
        <v>904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2:16" x14ac:dyDescent="0.3">
      <c r="B22" s="9"/>
      <c r="C22" s="9"/>
      <c r="D22" s="299" t="str">
        <f>'Raw Data'!B207&amp;" ("&amp;'Raw Data'!C207&amp;")"</f>
        <v>Intel (INTC)</v>
      </c>
      <c r="E22" s="300" t="s">
        <v>136</v>
      </c>
      <c r="F22" s="301">
        <f>'Raw Data'!$D$216</f>
        <v>1</v>
      </c>
      <c r="G22" s="303">
        <f>'Raw Data'!F207/F22</f>
        <v>509985</v>
      </c>
      <c r="H22" s="303">
        <f>'Raw Data'!G207/F22</f>
        <v>20560</v>
      </c>
      <c r="I22" s="303">
        <f>'Raw Data'!H207/F22</f>
        <v>530545</v>
      </c>
      <c r="J22" s="303">
        <f>'Raw Data'!J207/F22</f>
        <v>57030</v>
      </c>
      <c r="K22" s="303">
        <f>'Raw Data'!K207/F22</f>
        <v>16840</v>
      </c>
      <c r="L22" s="304">
        <f>K22/J22</f>
        <v>0.29528318428897071</v>
      </c>
      <c r="M22" s="305">
        <f>I22/J22</f>
        <v>9.3029107487287401</v>
      </c>
      <c r="N22" s="305">
        <f>I22/K22</f>
        <v>31.505047505938244</v>
      </c>
      <c r="O22" s="306" t="str">
        <f>IF('Raw Data'!L207&lt;=0,"n.m.",'Raw Data'!D207/'Raw Data'!L207)</f>
        <v>n.m.</v>
      </c>
      <c r="P22" s="305">
        <f>'Raw Data'!F207/'Raw Data'!M207</f>
        <v>4.9445898778359512</v>
      </c>
    </row>
    <row r="23" spans="2:16" x14ac:dyDescent="0.3">
      <c r="B23" s="9"/>
      <c r="C23" s="9"/>
      <c r="D23" s="299" t="str">
        <f>'Raw Data'!B208&amp;" ("&amp;'Raw Data'!C208&amp;")"</f>
        <v>Texas Instruments (TXN)</v>
      </c>
      <c r="E23" s="300" t="s">
        <v>136</v>
      </c>
      <c r="F23" s="301">
        <f>'Raw Data'!$D$216</f>
        <v>1</v>
      </c>
      <c r="G23" s="303">
        <f>'Raw Data'!F208/F23</f>
        <v>240577.44750000001</v>
      </c>
      <c r="H23" s="303">
        <f>'Raw Data'!G208/F23</f>
        <v>7050</v>
      </c>
      <c r="I23" s="303">
        <f>'Raw Data'!H208/F23</f>
        <v>247627.44750000001</v>
      </c>
      <c r="J23" s="303">
        <f>'Raw Data'!J208/F23</f>
        <v>19450</v>
      </c>
      <c r="K23" s="303">
        <f>'Raw Data'!K208/F23</f>
        <v>9520</v>
      </c>
      <c r="L23" s="304">
        <f>K23/J23</f>
        <v>0.48946015424164524</v>
      </c>
      <c r="M23" s="305">
        <f>I23/J23</f>
        <v>12.731488303341903</v>
      </c>
      <c r="N23" s="305">
        <f>I23/K23</f>
        <v>26.011286502100841</v>
      </c>
      <c r="O23" s="306">
        <f>IF('Raw Data'!L208&lt;=0,"n.m.",'Raw Data'!D208/'Raw Data'!L208)</f>
        <v>40.034954407294833</v>
      </c>
      <c r="P23" s="305">
        <f>'Raw Data'!F208/'Raw Data'!M208</f>
        <v>13.357992642976125</v>
      </c>
    </row>
    <row r="24" spans="2:16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 x14ac:dyDescent="0.3">
      <c r="B25" s="9"/>
      <c r="C25" s="298" t="s">
        <v>909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2:16" x14ac:dyDescent="0.3">
      <c r="B26" s="9"/>
      <c r="C26" s="9"/>
      <c r="D26" s="9" t="s">
        <v>910</v>
      </c>
      <c r="E26" s="300" t="s">
        <v>136</v>
      </c>
      <c r="F26" s="301">
        <f>'Raw Data'!$D$216</f>
        <v>1</v>
      </c>
      <c r="G26" s="303">
        <f>Model!$J$56</f>
        <v>1047625.0868676</v>
      </c>
      <c r="H26" s="303">
        <f>Model!$J$57</f>
        <v>-45796.481283996109</v>
      </c>
      <c r="I26" s="303">
        <f>Model!$J$58</f>
        <v>1001828.6055836038</v>
      </c>
      <c r="J26" s="303">
        <f>Model!I10</f>
        <v>37378</v>
      </c>
      <c r="K26" s="303">
        <f>Model!I13</f>
        <v>18122</v>
      </c>
      <c r="L26" s="304">
        <f>K26/J26</f>
        <v>0.4848306490448927</v>
      </c>
      <c r="M26" s="315">
        <f>Model!I67</f>
        <v>26.802627363251212</v>
      </c>
      <c r="N26" s="315">
        <f>Model!I66</f>
        <v>55.282452576073496</v>
      </c>
      <c r="O26" s="315">
        <f>Model!I63</f>
        <v>122.20986063941913</v>
      </c>
      <c r="P26" s="315">
        <f>Model!I64</f>
        <v>19.341365953431183</v>
      </c>
    </row>
    <row r="27" spans="2:16" x14ac:dyDescent="0.3">
      <c r="B27" s="9"/>
      <c r="C27" s="9"/>
      <c r="D27" s="295" t="s">
        <v>911</v>
      </c>
      <c r="E27" s="316" t="s">
        <v>136</v>
      </c>
      <c r="F27" s="317">
        <f>'Raw Data'!$D$216</f>
        <v>1</v>
      </c>
      <c r="G27" s="318">
        <f>Model!$J$56</f>
        <v>1047625.0868676</v>
      </c>
      <c r="H27" s="318">
        <f>Model!$J$57</f>
        <v>-45796.481283996109</v>
      </c>
      <c r="I27" s="318">
        <f>Model!$J$58</f>
        <v>1001828.6055836038</v>
      </c>
      <c r="J27" s="318">
        <f>Model!J10</f>
        <v>128959</v>
      </c>
      <c r="K27" s="318">
        <f>Model!J13</f>
        <v>105878.33333333333</v>
      </c>
      <c r="L27" s="307">
        <f>K27/J27</f>
        <v>0.82102321926607158</v>
      </c>
      <c r="M27" s="319">
        <f>Model!J67</f>
        <v>7.7685823058770911</v>
      </c>
      <c r="N27" s="319">
        <f>Model!J66</f>
        <v>9.4620738166474467</v>
      </c>
      <c r="O27" s="319">
        <f>Model!J63</f>
        <v>12.871727791808002</v>
      </c>
      <c r="P27" s="319">
        <f>Model!J64</f>
        <v>7.6941780451387576</v>
      </c>
    </row>
    <row r="28" spans="2:16" x14ac:dyDescent="0.3">
      <c r="B28" s="9"/>
      <c r="C28" s="9"/>
      <c r="D28" s="9" t="s">
        <v>912</v>
      </c>
      <c r="E28" s="300" t="s">
        <v>136</v>
      </c>
      <c r="F28" s="301">
        <f>'Raw Data'!$D$216</f>
        <v>1</v>
      </c>
      <c r="G28" s="303">
        <f>Model!$J$56</f>
        <v>1047625.0868676</v>
      </c>
      <c r="H28" s="303">
        <f>Model!$J$57</f>
        <v>-45796.481283996109</v>
      </c>
      <c r="I28" s="303">
        <f>Model!$J$58</f>
        <v>1001828.6055836038</v>
      </c>
      <c r="J28" s="303">
        <f>Model!K10</f>
        <v>145667.61923838675</v>
      </c>
      <c r="K28" s="303">
        <f>Model!K13</f>
        <v>123447.35486083373</v>
      </c>
      <c r="L28" s="304">
        <f>K28/J28</f>
        <v>0.84745913680933238</v>
      </c>
      <c r="M28" s="315">
        <f>Model!K67</f>
        <v>6.8774969400996371</v>
      </c>
      <c r="N28" s="315">
        <f>Model!K66</f>
        <v>8.1154319322029878</v>
      </c>
      <c r="O28" s="315">
        <f>Model!K63</f>
        <v>10.998127150847949</v>
      </c>
      <c r="P28" s="315">
        <f>Model!K64</f>
        <v>4.5066696787173868</v>
      </c>
    </row>
    <row r="29" spans="2:16" x14ac:dyDescent="0.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2:16" x14ac:dyDescent="0.3">
      <c r="B30" s="9"/>
      <c r="C30" s="298" t="s">
        <v>913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2:16" ht="27" customHeight="1" x14ac:dyDescent="0.3">
      <c r="B31" s="9"/>
      <c r="C31" s="9"/>
      <c r="D31" s="297" t="s">
        <v>914</v>
      </c>
      <c r="E31" s="296"/>
      <c r="F31" s="296" t="s">
        <v>915</v>
      </c>
      <c r="G31" s="296" t="s">
        <v>916</v>
      </c>
      <c r="H31" s="296" t="s">
        <v>917</v>
      </c>
      <c r="I31" s="296" t="s">
        <v>918</v>
      </c>
      <c r="J31" s="296" t="s">
        <v>842</v>
      </c>
      <c r="K31" s="296" t="s">
        <v>919</v>
      </c>
      <c r="L31" s="9"/>
      <c r="M31" s="9"/>
      <c r="N31" s="9"/>
      <c r="O31" s="9"/>
      <c r="P31" s="9"/>
    </row>
    <row r="32" spans="2:16" x14ac:dyDescent="0.3">
      <c r="B32" s="9"/>
      <c r="C32" s="9"/>
      <c r="D32" s="9" t="s">
        <v>920</v>
      </c>
      <c r="E32" s="9"/>
      <c r="F32" s="305">
        <f>N16</f>
        <v>14.621880558620365</v>
      </c>
      <c r="G32" s="303">
        <f>Model!J13</f>
        <v>105878.33333333333</v>
      </c>
      <c r="H32" s="302">
        <f>F32*G32</f>
        <v>1548140.3437457932</v>
      </c>
      <c r="I32" s="302">
        <f>H32+DCF!$F$60+DCF!$F$61</f>
        <v>1593936.8250297892</v>
      </c>
      <c r="J32" s="320">
        <f>I32/DCF!$F$63</f>
        <v>1386.0320217650342</v>
      </c>
      <c r="K32" s="304">
        <f>J32/Model!$J$54-1</f>
        <v>0.49421304631849305</v>
      </c>
      <c r="L32" s="9"/>
      <c r="M32" s="9"/>
      <c r="N32" s="9"/>
      <c r="O32" s="9"/>
      <c r="P32" s="9"/>
    </row>
    <row r="33" spans="2:16" x14ac:dyDescent="0.3">
      <c r="B33" s="9"/>
      <c r="C33" s="9"/>
      <c r="D33" s="9" t="s">
        <v>921</v>
      </c>
      <c r="E33" s="9"/>
      <c r="F33" s="305">
        <f>N19</f>
        <v>7.1817418499883736</v>
      </c>
      <c r="G33" s="303">
        <f>Model!J13</f>
        <v>105878.33333333333</v>
      </c>
      <c r="H33" s="302">
        <f>F33*G33</f>
        <v>760390.85750701895</v>
      </c>
      <c r="I33" s="302">
        <f>H33+DCF!$F$60+DCF!$F$61</f>
        <v>806187.33879101509</v>
      </c>
      <c r="J33" s="320">
        <f>I33/DCF!$F$63</f>
        <v>701.03246851392612</v>
      </c>
      <c r="K33" s="304">
        <f>J33/Model!$J$54-1</f>
        <v>-0.24425132760465063</v>
      </c>
      <c r="L33" s="9"/>
      <c r="M33" s="9"/>
      <c r="N33" s="9"/>
      <c r="O33" s="9"/>
      <c r="P33" s="9"/>
    </row>
    <row r="34" spans="2:16" x14ac:dyDescent="0.3">
      <c r="B34" s="9"/>
      <c r="C34" s="9"/>
      <c r="D34" s="9" t="s">
        <v>922</v>
      </c>
      <c r="E34" s="9"/>
      <c r="F34" s="305">
        <f>O16</f>
        <v>18.847247102775277</v>
      </c>
      <c r="G34" s="303">
        <f>Schedules!J281</f>
        <v>82874.654999999999</v>
      </c>
      <c r="H34" s="321" t="s">
        <v>923</v>
      </c>
      <c r="I34" s="302">
        <f>F34*G34</f>
        <v>1561959.1013422506</v>
      </c>
      <c r="J34" s="320">
        <f>I34/DCF!$F$63</f>
        <v>1358.2253055150006</v>
      </c>
      <c r="K34" s="304">
        <f>J34/Model!$J$54-1</f>
        <v>0.46423599128395932</v>
      </c>
      <c r="L34" s="9"/>
      <c r="M34" s="9"/>
      <c r="N34" s="9"/>
      <c r="O34" s="9"/>
      <c r="P34" s="9"/>
    </row>
    <row r="35" spans="2:16" x14ac:dyDescent="0.3">
      <c r="B35" s="9"/>
      <c r="C35" s="9"/>
      <c r="D35" s="9" t="s">
        <v>924</v>
      </c>
      <c r="E35" s="9"/>
      <c r="F35" s="305">
        <f>P16</f>
        <v>13.02901734831639</v>
      </c>
      <c r="G35" s="303">
        <f>Schedules!J357</f>
        <v>136158.155</v>
      </c>
      <c r="H35" s="321" t="s">
        <v>923</v>
      </c>
      <c r="I35" s="302">
        <f>F35*G35</f>
        <v>1774006.963609752</v>
      </c>
      <c r="J35" s="320">
        <f>I35/DCF!$F$63</f>
        <v>1542.6147509650018</v>
      </c>
      <c r="K35" s="304">
        <f>J35/Model!$J$54-1</f>
        <v>0.66301719595192088</v>
      </c>
      <c r="L35" s="9"/>
      <c r="M35" s="9"/>
      <c r="N35" s="9"/>
      <c r="O35" s="9"/>
      <c r="P35" s="9"/>
    </row>
    <row r="36" spans="2:16" x14ac:dyDescent="0.3">
      <c r="B36" s="9"/>
      <c r="C36" s="9"/>
      <c r="D36" s="308" t="s">
        <v>925</v>
      </c>
      <c r="E36" s="309"/>
      <c r="F36" s="309"/>
      <c r="G36" s="309"/>
      <c r="H36" s="322">
        <f>DCF!F59</f>
        <v>238365.89130988606</v>
      </c>
      <c r="I36" s="322">
        <f>DCF!F62</f>
        <v>284162.37259388214</v>
      </c>
      <c r="J36" s="323">
        <f>DCF!F64</f>
        <v>247.09771529902795</v>
      </c>
      <c r="K36" s="324">
        <f>DCF!F66</f>
        <v>-0.73361608958707636</v>
      </c>
      <c r="L36" s="9"/>
      <c r="M36" s="9"/>
      <c r="N36" s="9"/>
      <c r="O36" s="9"/>
      <c r="P36" s="9"/>
    </row>
    <row r="37" spans="2:16" x14ac:dyDescent="0.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2:16" x14ac:dyDescent="0.3">
      <c r="B38" s="9"/>
      <c r="C38" s="298" t="s">
        <v>926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2:16" x14ac:dyDescent="0.3">
      <c r="B39" s="9"/>
      <c r="C39" s="9"/>
      <c r="D39" s="325" t="str">
        <f>"Peers trade at a median "&amp;TEXT(N16,"0.0x")&amp;" LTM EBITDA, but on peak-cycle earnings: memory prices are near a record high. Applying that to Micron's FY2026E (also a peak year) gives a high value; it assumes today's margins last."</f>
        <v>Peers trade at a median 14.6x LTM EBITDA, but on peak-cycle earnings: memory prices are near a record high. Applying that to Micron's FY2026E (also a peak year) gives a high value; it assumes today's margins last.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x14ac:dyDescent="0.3">
      <c r="B40" s="9"/>
      <c r="C40" s="9"/>
      <c r="D40" s="325" t="str">
        <f>"The DCF exit multiple stays at Micron's own mid-cycle median of "&amp;TEXT(DCF!F38,"0.00x")&amp;" (FY2021-FY2025). The DRAM makers closest to Micron (Samsung, SK hynix) trade at "&amp;TEXT(N19,"0.0x")&amp;" EV/EBITDA."</f>
        <v>The DCF exit multiple stays at Micron's own mid-cycle median of 7.77x (FY2021-FY2025). The DRAM makers closest to Micron (Samsung, SK hynix) trade at 7.2x EV/EBITDA.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2:16" x14ac:dyDescent="0.3">
      <c r="B41" s="9"/>
      <c r="C41" s="9"/>
      <c r="D41" s="325" t="s">
        <v>927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2:16" x14ac:dyDescent="0.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2:16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2:16" x14ac:dyDescent="0.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2:16" x14ac:dyDescent="0.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</sheetData>
  <printOptions horizontalCentered="1"/>
  <pageMargins left="0.7" right="0.7" top="0.75" bottom="0.75" header="0.3" footer="0.3"/>
  <pageSetup paperSize="9" scale="64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224C-CBBE-4CC5-A5AE-D88EAAB86FB2}">
  <sheetPr>
    <tabColor theme="3"/>
    <pageSetUpPr fitToPage="1"/>
  </sheetPr>
  <dimension ref="B1:P90"/>
  <sheetViews>
    <sheetView showGridLines="0" workbookViewId="0"/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42.77734375" customWidth="1"/>
    <col min="5" max="5" width="9.6640625" customWidth="1"/>
    <col min="6" max="16" width="13.33203125" customWidth="1"/>
  </cols>
  <sheetData>
    <row r="1" spans="2:16" s="283" customFormat="1" ht="12.75" customHeight="1" x14ac:dyDescent="0.3">
      <c r="P1" s="219"/>
    </row>
    <row r="2" spans="2:16" s="283" customFormat="1" ht="22.8" customHeight="1" x14ac:dyDescent="0.4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2:16" s="283" customFormat="1" ht="17.399999999999999" customHeight="1" x14ac:dyDescent="0.35">
      <c r="B3" s="221" t="s">
        <v>928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2:16" s="283" customFormat="1" ht="3" customHeight="1" thickBot="1" x14ac:dyDescent="0.4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</row>
    <row r="5" spans="2:16" s="283" customFormat="1" ht="12.75" customHeight="1" x14ac:dyDescent="0.3">
      <c r="B5" s="294" t="s">
        <v>929</v>
      </c>
    </row>
    <row r="6" spans="2:16" s="283" customFormat="1" x14ac:dyDescent="0.3">
      <c r="E6" s="225"/>
      <c r="F6" s="264"/>
    </row>
    <row r="7" spans="2:16" ht="27" customHeight="1" x14ac:dyDescent="0.3">
      <c r="B7" s="9"/>
      <c r="C7" s="9"/>
      <c r="D7" s="9"/>
      <c r="E7" s="297" t="s">
        <v>107</v>
      </c>
      <c r="F7" s="296" t="s">
        <v>108</v>
      </c>
      <c r="G7" s="296" t="s">
        <v>109</v>
      </c>
      <c r="H7" s="296" t="s">
        <v>110</v>
      </c>
      <c r="I7" s="296" t="s">
        <v>76</v>
      </c>
      <c r="J7" s="296" t="str">
        <f>"Live: "&amp;INDEX(Assumptions!$C$27:$C$29,Assumptions!$D$7)</f>
        <v>Live: Base</v>
      </c>
      <c r="K7" s="296" t="s">
        <v>930</v>
      </c>
      <c r="L7" s="9"/>
      <c r="M7" s="9"/>
      <c r="N7" s="9"/>
      <c r="O7" s="9"/>
      <c r="P7" s="9"/>
    </row>
    <row r="8" spans="2:16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2:16" x14ac:dyDescent="0.3">
      <c r="B9" s="9"/>
      <c r="C9" s="298" t="s">
        <v>931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2:16" x14ac:dyDescent="0.3">
      <c r="B10" s="9"/>
      <c r="C10" s="9"/>
      <c r="D10" s="295" t="s">
        <v>934</v>
      </c>
      <c r="E10" s="341" t="s">
        <v>550</v>
      </c>
      <c r="F10" s="342">
        <v>127.24045461870857</v>
      </c>
      <c r="G10" s="342">
        <v>247.09771529902795</v>
      </c>
      <c r="H10" s="342">
        <v>515.08876132167609</v>
      </c>
      <c r="I10" s="330">
        <f>SUMPRODUCT($F$41:$H$41,F10:H10)</f>
        <v>284.13116163461018</v>
      </c>
      <c r="J10" s="343">
        <f>DCF!F64</f>
        <v>247.09771529902795</v>
      </c>
      <c r="K10" s="330">
        <f>ROUND(J10-INDEX(F10:H10,Assumptions!$D$7),6)</f>
        <v>0</v>
      </c>
      <c r="L10" s="9"/>
      <c r="M10" s="9"/>
      <c r="N10" s="9"/>
      <c r="O10" s="9"/>
      <c r="P10" s="9"/>
    </row>
    <row r="11" spans="2:16" x14ac:dyDescent="0.3">
      <c r="B11" s="9"/>
      <c r="C11" s="9"/>
      <c r="D11" s="9" t="s">
        <v>935</v>
      </c>
      <c r="E11" s="327" t="s">
        <v>550</v>
      </c>
      <c r="F11" s="328">
        <v>198.20868573732074</v>
      </c>
      <c r="G11" s="328">
        <v>333.11753078343912</v>
      </c>
      <c r="H11" s="328">
        <v>582.57187926444999</v>
      </c>
      <c r="I11" s="320">
        <f>SUMPRODUCT($F$41:$H$41,F11:H11)</f>
        <v>361.75390664216224</v>
      </c>
      <c r="J11" s="329">
        <f>DCF!G64</f>
        <v>333.11753078343912</v>
      </c>
      <c r="K11" s="320">
        <f>ROUND(J11-INDEX(F11:H11,Assumptions!$D$7),6)</f>
        <v>0</v>
      </c>
      <c r="L11" s="9"/>
      <c r="M11" s="9"/>
      <c r="N11" s="9"/>
      <c r="O11" s="9"/>
      <c r="P11" s="9"/>
    </row>
    <row r="12" spans="2:16" x14ac:dyDescent="0.3">
      <c r="B12" s="9"/>
      <c r="C12" s="9"/>
      <c r="D12" s="9" t="s">
        <v>936</v>
      </c>
      <c r="E12" s="327" t="s">
        <v>529</v>
      </c>
      <c r="F12" s="331">
        <v>-0.86282831541751981</v>
      </c>
      <c r="G12" s="331">
        <v>-0.73361608958707636</v>
      </c>
      <c r="H12" s="331">
        <v>-0.44470810551781359</v>
      </c>
      <c r="I12" s="304">
        <f>I10/I38-1</f>
        <v>-0.6936921500273715</v>
      </c>
      <c r="J12" s="332">
        <f>DCF!F66</f>
        <v>-0.73361608958707636</v>
      </c>
      <c r="K12" s="304">
        <f>ROUND(J12-INDEX(F12:H12,Assumptions!$D$7),6)</f>
        <v>0</v>
      </c>
      <c r="L12" s="9"/>
      <c r="M12" s="9"/>
      <c r="N12" s="9"/>
      <c r="O12" s="9"/>
      <c r="P12" s="9"/>
    </row>
    <row r="13" spans="2:16" x14ac:dyDescent="0.3">
      <c r="B13" s="9"/>
      <c r="C13" s="9"/>
      <c r="D13" s="9" t="s">
        <v>838</v>
      </c>
      <c r="E13" s="327" t="s">
        <v>505</v>
      </c>
      <c r="F13" s="333">
        <v>80248.853957805055</v>
      </c>
      <c r="G13" s="333">
        <v>160098.21924494195</v>
      </c>
      <c r="H13" s="333">
        <v>282252.43970625405</v>
      </c>
      <c r="I13" s="302">
        <f t="shared" ref="I13:I18" si="0">SUMPRODUCT($F$41:$H$41,F13:H13)</f>
        <v>170674.43303848576</v>
      </c>
      <c r="J13" s="303">
        <f>DCF!F57</f>
        <v>160098.21924494195</v>
      </c>
      <c r="K13" s="302">
        <f>ROUND(J13-INDEX(F13:H13,Assumptions!$D$7),6)</f>
        <v>0</v>
      </c>
      <c r="L13" s="9"/>
      <c r="M13" s="9"/>
      <c r="N13" s="9"/>
      <c r="O13" s="9"/>
      <c r="P13" s="9"/>
    </row>
    <row r="14" spans="2:16" x14ac:dyDescent="0.3">
      <c r="B14" s="9"/>
      <c r="C14" s="9"/>
      <c r="D14" s="9" t="s">
        <v>836</v>
      </c>
      <c r="E14" s="327" t="s">
        <v>505</v>
      </c>
      <c r="F14" s="333">
        <v>20281.187569713678</v>
      </c>
      <c r="G14" s="333">
        <v>78267.672064944098</v>
      </c>
      <c r="H14" s="333">
        <v>264303.15452967735</v>
      </c>
      <c r="I14" s="302">
        <f t="shared" si="0"/>
        <v>110279.92155731982</v>
      </c>
      <c r="J14" s="303">
        <f>DCF!F58</f>
        <v>78267.672064944098</v>
      </c>
      <c r="K14" s="302">
        <f>ROUND(J14-INDEX(F14:H14,Assumptions!$D$7),6)</f>
        <v>0</v>
      </c>
      <c r="L14" s="9"/>
      <c r="M14" s="9"/>
      <c r="N14" s="9"/>
      <c r="O14" s="9"/>
      <c r="P14" s="9"/>
    </row>
    <row r="15" spans="2:16" x14ac:dyDescent="0.3">
      <c r="B15" s="9"/>
      <c r="C15" s="9"/>
      <c r="D15" s="9" t="s">
        <v>65</v>
      </c>
      <c r="E15" s="327" t="s">
        <v>505</v>
      </c>
      <c r="F15" s="333">
        <v>100530.04152751874</v>
      </c>
      <c r="G15" s="333">
        <v>238365.89130988606</v>
      </c>
      <c r="H15" s="333">
        <v>546555.59423593141</v>
      </c>
      <c r="I15" s="302">
        <f t="shared" si="0"/>
        <v>280954.35459580558</v>
      </c>
      <c r="J15" s="303">
        <f>DCF!F59</f>
        <v>238365.89130988606</v>
      </c>
      <c r="K15" s="302">
        <f>ROUND(J15-INDEX(F15:H15,Assumptions!$D$7),6)</f>
        <v>0</v>
      </c>
      <c r="L15" s="9"/>
      <c r="M15" s="9"/>
      <c r="N15" s="9"/>
      <c r="O15" s="9"/>
      <c r="P15" s="9"/>
    </row>
    <row r="16" spans="2:16" x14ac:dyDescent="0.3">
      <c r="B16" s="9"/>
      <c r="C16" s="9"/>
      <c r="D16" s="9" t="s">
        <v>937</v>
      </c>
      <c r="E16" s="327" t="s">
        <v>505</v>
      </c>
      <c r="F16" s="333">
        <v>45796.481283996109</v>
      </c>
      <c r="G16" s="333">
        <v>45796.481283996109</v>
      </c>
      <c r="H16" s="333">
        <v>45796.481283996109</v>
      </c>
      <c r="I16" s="302">
        <f t="shared" si="0"/>
        <v>45796.481283996109</v>
      </c>
      <c r="J16" s="303">
        <f>DCF!F60+DCF!F61</f>
        <v>45796.481283996109</v>
      </c>
      <c r="K16" s="302">
        <f>ROUND(J16-INDEX(F16:H16,Assumptions!$D$7),6)</f>
        <v>0</v>
      </c>
      <c r="L16" s="9"/>
      <c r="M16" s="9"/>
      <c r="N16" s="9"/>
      <c r="O16" s="9"/>
      <c r="P16" s="9"/>
    </row>
    <row r="17" spans="2:16" x14ac:dyDescent="0.3">
      <c r="B17" s="9"/>
      <c r="C17" s="9"/>
      <c r="D17" s="9" t="s">
        <v>66</v>
      </c>
      <c r="E17" s="327" t="s">
        <v>505</v>
      </c>
      <c r="F17" s="333">
        <v>146326.52281151485</v>
      </c>
      <c r="G17" s="333">
        <v>284162.37259388214</v>
      </c>
      <c r="H17" s="333">
        <v>592352.07551992754</v>
      </c>
      <c r="I17" s="302">
        <f t="shared" si="0"/>
        <v>326750.83587980166</v>
      </c>
      <c r="J17" s="303">
        <f>DCF!F62</f>
        <v>284162.37259388214</v>
      </c>
      <c r="K17" s="302">
        <f>ROUND(J17-INDEX(F17:H17,Assumptions!$D$7),6)</f>
        <v>0</v>
      </c>
      <c r="L17" s="9"/>
      <c r="M17" s="9"/>
      <c r="N17" s="9"/>
      <c r="O17" s="9"/>
      <c r="P17" s="9"/>
    </row>
    <row r="18" spans="2:16" x14ac:dyDescent="0.3">
      <c r="B18" s="9"/>
      <c r="C18" s="9"/>
      <c r="D18" s="9" t="s">
        <v>841</v>
      </c>
      <c r="E18" s="327" t="s">
        <v>548</v>
      </c>
      <c r="F18" s="333">
        <v>1150</v>
      </c>
      <c r="G18" s="333">
        <v>1150</v>
      </c>
      <c r="H18" s="333">
        <v>1150</v>
      </c>
      <c r="I18" s="302">
        <f t="shared" si="0"/>
        <v>1150</v>
      </c>
      <c r="J18" s="303">
        <f>DCF!F63</f>
        <v>1150</v>
      </c>
      <c r="K18" s="302">
        <f>ROUND(J18-INDEX(F18:H18,Assumptions!$D$7),6)</f>
        <v>0</v>
      </c>
      <c r="L18" s="9"/>
      <c r="M18" s="9"/>
      <c r="N18" s="9"/>
      <c r="O18" s="9"/>
      <c r="P18" s="9"/>
    </row>
    <row r="19" spans="2:16" x14ac:dyDescent="0.3">
      <c r="B19" s="9"/>
      <c r="C19" s="9"/>
      <c r="D19" s="9" t="s">
        <v>846</v>
      </c>
      <c r="E19" s="327" t="s">
        <v>529</v>
      </c>
      <c r="F19" s="331">
        <v>0.20174255636969948</v>
      </c>
      <c r="G19" s="331">
        <v>0.32835097183930861</v>
      </c>
      <c r="H19" s="331">
        <v>0.48357963456428504</v>
      </c>
      <c r="I19" s="9"/>
      <c r="J19" s="332">
        <f>DCF!F69</f>
        <v>0.32835097183930861</v>
      </c>
      <c r="K19" s="304">
        <f>ROUND(J19-INDEX(F19:H19,Assumptions!$D$7),6)</f>
        <v>0</v>
      </c>
      <c r="L19" s="9"/>
      <c r="M19" s="9"/>
      <c r="N19" s="9"/>
      <c r="O19" s="9"/>
      <c r="P19" s="9"/>
    </row>
    <row r="20" spans="2:16" x14ac:dyDescent="0.3">
      <c r="B20" s="9"/>
      <c r="C20" s="9"/>
      <c r="D20" s="9" t="s">
        <v>938</v>
      </c>
      <c r="E20" s="327" t="s">
        <v>751</v>
      </c>
      <c r="F20" s="334">
        <v>1.2782421624658502</v>
      </c>
      <c r="G20" s="334">
        <v>1.9309112907166281</v>
      </c>
      <c r="H20" s="334">
        <v>3.4625899528389446</v>
      </c>
      <c r="I20" s="9"/>
      <c r="J20" s="315">
        <f>DCF!F59/DCF!K10</f>
        <v>1.9309112907166281</v>
      </c>
      <c r="K20" s="305">
        <f>ROUND(J20-INDEX(F20:H20,Assumptions!$D$7),6)</f>
        <v>0</v>
      </c>
      <c r="L20" s="9"/>
      <c r="M20" s="9"/>
      <c r="N20" s="9"/>
      <c r="O20" s="9"/>
      <c r="P20" s="9"/>
    </row>
    <row r="21" spans="2:16" x14ac:dyDescent="0.3">
      <c r="B21" s="9"/>
      <c r="C21" s="9"/>
      <c r="D21" s="9" t="s">
        <v>939</v>
      </c>
      <c r="E21" s="327" t="s">
        <v>751</v>
      </c>
      <c r="F21" s="334">
        <v>1.0746805640214121</v>
      </c>
      <c r="G21" s="334">
        <v>2.0870022261529773</v>
      </c>
      <c r="H21" s="334">
        <v>4.3504707853887092</v>
      </c>
      <c r="I21" s="9"/>
      <c r="J21" s="315">
        <f>DCF!F62/Schedules!J357</f>
        <v>2.0870022261529773</v>
      </c>
      <c r="K21" s="305">
        <f>ROUND(J21-INDEX(F21:H21,Assumptions!$D$7),6)</f>
        <v>0</v>
      </c>
      <c r="L21" s="9"/>
      <c r="M21" s="9"/>
      <c r="N21" s="9"/>
      <c r="O21" s="9"/>
      <c r="P21" s="9"/>
    </row>
    <row r="22" spans="2:16" x14ac:dyDescent="0.3">
      <c r="B22" s="9"/>
      <c r="C22" s="9"/>
      <c r="D22" s="9" t="s">
        <v>940</v>
      </c>
      <c r="E22" s="327" t="s">
        <v>529</v>
      </c>
      <c r="F22" s="336">
        <v>-1.1055965740167695E-2</v>
      </c>
      <c r="G22" s="336">
        <v>9.6558191116491807E-3</v>
      </c>
      <c r="H22" s="336">
        <v>3.4885871213099627E-2</v>
      </c>
      <c r="I22" s="9"/>
      <c r="J22" s="337">
        <f>DCF!F45</f>
        <v>9.6558191116491807E-3</v>
      </c>
      <c r="K22" s="335">
        <f>ROUND(J22-INDEX(F22:H22,Assumptions!$D$7),6)</f>
        <v>0</v>
      </c>
      <c r="L22" s="9"/>
      <c r="M22" s="9"/>
      <c r="N22" s="9"/>
      <c r="O22" s="9"/>
      <c r="P22" s="9"/>
    </row>
    <row r="23" spans="2:16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 x14ac:dyDescent="0.3">
      <c r="B24" s="9"/>
      <c r="C24" s="298" t="s">
        <v>932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 x14ac:dyDescent="0.3">
      <c r="B25" s="9"/>
      <c r="C25" s="9"/>
      <c r="D25" s="9" t="s">
        <v>941</v>
      </c>
      <c r="E25" s="327" t="s">
        <v>505</v>
      </c>
      <c r="F25" s="333">
        <v>99989.595421882666</v>
      </c>
      <c r="G25" s="333">
        <v>145667.61923838675</v>
      </c>
      <c r="H25" s="333">
        <v>180920.79340692563</v>
      </c>
      <c r="I25" s="9"/>
      <c r="J25" s="303">
        <f>Model!K10</f>
        <v>145667.61923838675</v>
      </c>
      <c r="K25" s="302">
        <f>ROUND(J25-INDEX(F25:H25,Assumptions!$D$7),6)</f>
        <v>0</v>
      </c>
      <c r="L25" s="9"/>
      <c r="M25" s="9"/>
      <c r="N25" s="9"/>
      <c r="O25" s="9"/>
      <c r="P25" s="9"/>
    </row>
    <row r="26" spans="2:16" x14ac:dyDescent="0.3">
      <c r="B26" s="9"/>
      <c r="C26" s="9"/>
      <c r="D26" s="9" t="s">
        <v>942</v>
      </c>
      <c r="E26" s="327" t="s">
        <v>505</v>
      </c>
      <c r="F26" s="333">
        <v>48433.434981148159</v>
      </c>
      <c r="G26" s="333">
        <v>69290.759060996774</v>
      </c>
      <c r="H26" s="333">
        <v>112695.56556264362</v>
      </c>
      <c r="I26" s="9"/>
      <c r="J26" s="303">
        <f>Model!P10</f>
        <v>69290.759060996774</v>
      </c>
      <c r="K26" s="302">
        <f>ROUND(J26-INDEX(F26:H26,Assumptions!$D$7),6)</f>
        <v>0</v>
      </c>
      <c r="L26" s="9"/>
      <c r="M26" s="9"/>
      <c r="N26" s="9"/>
      <c r="O26" s="9"/>
      <c r="P26" s="9"/>
    </row>
    <row r="27" spans="2:16" x14ac:dyDescent="0.3">
      <c r="B27" s="9"/>
      <c r="C27" s="9"/>
      <c r="D27" s="9" t="s">
        <v>943</v>
      </c>
      <c r="E27" s="327" t="s">
        <v>529</v>
      </c>
      <c r="F27" s="331">
        <v>-0.15059345635943444</v>
      </c>
      <c r="G27" s="331">
        <v>-9.8351474044989007E-2</v>
      </c>
      <c r="H27" s="331">
        <v>-2.2216895970577188E-2</v>
      </c>
      <c r="I27" s="9"/>
      <c r="J27" s="332">
        <f>(Model!P10/Model!J10)^(1/6)-1</f>
        <v>-9.8351474044989007E-2</v>
      </c>
      <c r="K27" s="304">
        <f>ROUND(J27-INDEX(F27:H27,Assumptions!$D$7),6)</f>
        <v>0</v>
      </c>
      <c r="L27" s="9"/>
      <c r="M27" s="9"/>
      <c r="N27" s="9"/>
      <c r="O27" s="9"/>
      <c r="P27" s="9"/>
    </row>
    <row r="28" spans="2:16" x14ac:dyDescent="0.3">
      <c r="B28" s="9"/>
      <c r="C28" s="9"/>
      <c r="D28" s="9" t="s">
        <v>944</v>
      </c>
      <c r="E28" s="327" t="s">
        <v>529</v>
      </c>
      <c r="F28" s="331">
        <v>0.35785989069057894</v>
      </c>
      <c r="G28" s="331">
        <v>0.48951564471175224</v>
      </c>
      <c r="H28" s="331">
        <v>0.64408200787727654</v>
      </c>
      <c r="I28" s="9"/>
      <c r="J28" s="332">
        <f>Schedules!P262</f>
        <v>0.48951564471175224</v>
      </c>
      <c r="K28" s="304">
        <f>ROUND(J28-INDEX(F28:H28,Assumptions!$D$7),6)</f>
        <v>0</v>
      </c>
      <c r="L28" s="9"/>
      <c r="M28" s="9"/>
      <c r="N28" s="9"/>
      <c r="O28" s="9"/>
      <c r="P28" s="9"/>
    </row>
    <row r="29" spans="2:16" x14ac:dyDescent="0.3">
      <c r="B29" s="9"/>
      <c r="C29" s="9"/>
      <c r="D29" s="9" t="s">
        <v>945</v>
      </c>
      <c r="E29" s="327" t="s">
        <v>505</v>
      </c>
      <c r="F29" s="333">
        <v>78647.101839910189</v>
      </c>
      <c r="G29" s="333">
        <v>123447.35486083373</v>
      </c>
      <c r="H29" s="333">
        <v>157845.89041154459</v>
      </c>
      <c r="I29" s="9"/>
      <c r="J29" s="303">
        <f>Model!K13</f>
        <v>123447.35486083373</v>
      </c>
      <c r="K29" s="302">
        <f>ROUND(J29-INDEX(F29:H29,Assumptions!$D$7),6)</f>
        <v>0</v>
      </c>
      <c r="L29" s="9"/>
      <c r="M29" s="9"/>
      <c r="N29" s="9"/>
      <c r="O29" s="9"/>
      <c r="P29" s="9"/>
    </row>
    <row r="30" spans="2:16" x14ac:dyDescent="0.3">
      <c r="B30" s="9"/>
      <c r="C30" s="9"/>
      <c r="D30" s="9" t="s">
        <v>946</v>
      </c>
      <c r="E30" s="327" t="s">
        <v>529</v>
      </c>
      <c r="F30" s="331">
        <v>0.54754629389558784</v>
      </c>
      <c r="G30" s="331">
        <v>0.66554853983665596</v>
      </c>
      <c r="H30" s="331">
        <v>0.78961991646752794</v>
      </c>
      <c r="I30" s="9"/>
      <c r="J30" s="332">
        <f>Model!P14</f>
        <v>0.66554853983665596</v>
      </c>
      <c r="K30" s="304">
        <f>ROUND(J30-INDEX(F30:H30,Assumptions!$D$7),6)</f>
        <v>0</v>
      </c>
      <c r="L30" s="9"/>
      <c r="M30" s="9"/>
      <c r="N30" s="9"/>
      <c r="O30" s="9"/>
      <c r="P30" s="9"/>
    </row>
    <row r="31" spans="2:16" x14ac:dyDescent="0.3">
      <c r="B31" s="9"/>
      <c r="C31" s="9"/>
      <c r="D31" s="9" t="s">
        <v>947</v>
      </c>
      <c r="E31" s="327" t="s">
        <v>529</v>
      </c>
      <c r="F31" s="331">
        <v>0.39999999999999997</v>
      </c>
      <c r="G31" s="331">
        <v>0.33833333333333337</v>
      </c>
      <c r="H31" s="331">
        <v>0.28666666666666668</v>
      </c>
      <c r="I31" s="9"/>
      <c r="J31" s="332">
        <f>AVERAGE(Assumptions!K46:P46)</f>
        <v>0.33833333333333337</v>
      </c>
      <c r="K31" s="304">
        <f>ROUND(J31-INDEX(F31:H31,Assumptions!$D$7),6)</f>
        <v>0</v>
      </c>
      <c r="L31" s="9"/>
      <c r="M31" s="9"/>
      <c r="N31" s="9"/>
      <c r="O31" s="9"/>
      <c r="P31" s="9"/>
    </row>
    <row r="32" spans="2:16" x14ac:dyDescent="0.3">
      <c r="B32" s="9"/>
      <c r="C32" s="9"/>
      <c r="D32" s="9" t="s">
        <v>948</v>
      </c>
      <c r="E32" s="327" t="s">
        <v>505</v>
      </c>
      <c r="F32" s="333">
        <v>97580.902908874152</v>
      </c>
      <c r="G32" s="333">
        <v>203029.84015963005</v>
      </c>
      <c r="H32" s="333">
        <v>372613.95311578544</v>
      </c>
      <c r="I32" s="9"/>
      <c r="J32" s="303">
        <f>SUM(DCF!K15:P15)</f>
        <v>203029.84015963005</v>
      </c>
      <c r="K32" s="302">
        <f>ROUND(J32-INDEX(F32:H32,Assumptions!$D$7),6)</f>
        <v>0</v>
      </c>
      <c r="L32" s="9"/>
      <c r="M32" s="9"/>
      <c r="N32" s="9"/>
      <c r="O32" s="9"/>
      <c r="P32" s="9"/>
    </row>
    <row r="33" spans="2:16" x14ac:dyDescent="0.3">
      <c r="B33" s="9"/>
      <c r="C33" s="9"/>
      <c r="D33" s="9" t="s">
        <v>949</v>
      </c>
      <c r="E33" s="327" t="s">
        <v>550</v>
      </c>
      <c r="F33" s="328">
        <v>8.0386275724599887</v>
      </c>
      <c r="G33" s="328">
        <v>22.874349510190019</v>
      </c>
      <c r="H33" s="328">
        <v>55.357861311048083</v>
      </c>
      <c r="I33" s="9"/>
      <c r="J33" s="329">
        <f>Schedules!P286</f>
        <v>22.874349510190019</v>
      </c>
      <c r="K33" s="320">
        <f>ROUND(J33-INDEX(F33:H33,Assumptions!$D$7),6)</f>
        <v>0</v>
      </c>
      <c r="L33" s="9"/>
      <c r="M33" s="9"/>
      <c r="N33" s="9"/>
      <c r="O33" s="9"/>
      <c r="P33" s="9"/>
    </row>
    <row r="34" spans="2:16" x14ac:dyDescent="0.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2:16" x14ac:dyDescent="0.3">
      <c r="B35" s="9"/>
      <c r="C35" s="298" t="s">
        <v>933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2:16" x14ac:dyDescent="0.3">
      <c r="B36" s="9"/>
      <c r="C36" s="9"/>
      <c r="D36" s="9" t="s">
        <v>42</v>
      </c>
      <c r="E36" s="327" t="s">
        <v>529</v>
      </c>
      <c r="F36" s="336">
        <v>0.12453408324160252</v>
      </c>
      <c r="G36" s="336">
        <v>0.12453408324160252</v>
      </c>
      <c r="H36" s="336">
        <v>0.12453408324160252</v>
      </c>
      <c r="I36" s="9"/>
      <c r="J36" s="337">
        <f>DCF!F36</f>
        <v>0.12453408324160252</v>
      </c>
      <c r="K36" s="335">
        <f>ROUND(J36-INDEX(F36:H36,Assumptions!$D$7),6)</f>
        <v>0</v>
      </c>
      <c r="L36" s="9"/>
      <c r="M36" s="9"/>
      <c r="N36" s="9"/>
      <c r="O36" s="9"/>
      <c r="P36" s="9"/>
    </row>
    <row r="37" spans="2:16" x14ac:dyDescent="0.3">
      <c r="B37" s="9"/>
      <c r="C37" s="9"/>
      <c r="D37" s="9" t="s">
        <v>950</v>
      </c>
      <c r="E37" s="327" t="s">
        <v>751</v>
      </c>
      <c r="F37" s="339">
        <v>7.77</v>
      </c>
      <c r="G37" s="339">
        <v>7.77</v>
      </c>
      <c r="H37" s="339">
        <v>7.77</v>
      </c>
      <c r="I37" s="9"/>
      <c r="J37" s="340">
        <f>DCF!F38</f>
        <v>7.77</v>
      </c>
      <c r="K37" s="338">
        <f>ROUND(J37-INDEX(F37:H37,Assumptions!$D$7),6)</f>
        <v>0</v>
      </c>
      <c r="L37" s="9"/>
      <c r="M37" s="9"/>
      <c r="N37" s="9"/>
      <c r="O37" s="9"/>
      <c r="P37" s="9"/>
    </row>
    <row r="38" spans="2:16" x14ac:dyDescent="0.3">
      <c r="B38" s="9"/>
      <c r="C38" s="9"/>
      <c r="D38" s="9" t="s">
        <v>843</v>
      </c>
      <c r="E38" s="327" t="s">
        <v>550</v>
      </c>
      <c r="F38" s="328">
        <v>927.6</v>
      </c>
      <c r="G38" s="328">
        <v>927.6</v>
      </c>
      <c r="H38" s="328">
        <v>927.6</v>
      </c>
      <c r="I38" s="320">
        <f>G38</f>
        <v>927.6</v>
      </c>
      <c r="J38" s="329">
        <f>Model!J54</f>
        <v>927.6</v>
      </c>
      <c r="K38" s="320">
        <f>ROUND(J38-INDEX(F38:H38,Assumptions!$D$7),6)</f>
        <v>0</v>
      </c>
      <c r="L38" s="9"/>
      <c r="M38" s="9"/>
      <c r="N38" s="9"/>
      <c r="O38" s="9"/>
      <c r="P38" s="9"/>
    </row>
    <row r="39" spans="2:16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x14ac:dyDescent="0.3">
      <c r="B40" s="9"/>
      <c r="C40" s="298" t="s">
        <v>951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2:16" x14ac:dyDescent="0.3">
      <c r="B41" s="9"/>
      <c r="C41" s="9"/>
      <c r="D41" s="9" t="s">
        <v>114</v>
      </c>
      <c r="E41" s="327" t="s">
        <v>529</v>
      </c>
      <c r="F41" s="331">
        <v>0.25</v>
      </c>
      <c r="G41" s="331">
        <v>0.5</v>
      </c>
      <c r="H41" s="331">
        <v>0.25</v>
      </c>
      <c r="I41" s="304">
        <f>SUM(F41:H41)</f>
        <v>1</v>
      </c>
      <c r="J41" s="9"/>
      <c r="K41" s="9"/>
      <c r="L41" s="9"/>
      <c r="M41" s="9"/>
      <c r="N41" s="9"/>
      <c r="O41" s="9"/>
      <c r="P41" s="9"/>
    </row>
    <row r="42" spans="2:16" x14ac:dyDescent="0.3">
      <c r="B42" s="9"/>
      <c r="C42" s="9"/>
      <c r="D42" s="308" t="s">
        <v>952</v>
      </c>
      <c r="E42" s="344" t="s">
        <v>550</v>
      </c>
      <c r="F42" s="309"/>
      <c r="G42" s="309"/>
      <c r="H42" s="309"/>
      <c r="I42" s="280">
        <f>I10</f>
        <v>284.13116163461018</v>
      </c>
      <c r="J42" s="309"/>
      <c r="K42" s="309"/>
      <c r="L42" s="9"/>
      <c r="M42" s="9"/>
      <c r="N42" s="9"/>
      <c r="O42" s="9"/>
      <c r="P42" s="9"/>
    </row>
    <row r="43" spans="2:16" x14ac:dyDescent="0.3">
      <c r="B43" s="9"/>
      <c r="C43" s="9"/>
      <c r="D43" s="9" t="s">
        <v>953</v>
      </c>
      <c r="E43" s="327" t="s">
        <v>529</v>
      </c>
      <c r="F43" s="9"/>
      <c r="G43" s="9"/>
      <c r="H43" s="9"/>
      <c r="I43" s="304">
        <f>I42/I38-1</f>
        <v>-0.6936921500273715</v>
      </c>
      <c r="J43" s="9"/>
      <c r="K43" s="9"/>
      <c r="L43" s="9"/>
      <c r="M43" s="9"/>
      <c r="N43" s="9"/>
      <c r="O43" s="9"/>
      <c r="P43" s="9"/>
    </row>
    <row r="44" spans="2:16" x14ac:dyDescent="0.3">
      <c r="B44" s="9"/>
      <c r="C44" s="9"/>
      <c r="D44" s="9" t="s">
        <v>954</v>
      </c>
      <c r="E44" s="327" t="s">
        <v>529</v>
      </c>
      <c r="F44" s="9"/>
      <c r="G44" s="9"/>
      <c r="H44" s="9"/>
      <c r="I44" s="331">
        <v>0.15</v>
      </c>
      <c r="J44" s="9"/>
      <c r="K44" s="9"/>
      <c r="L44" s="9"/>
      <c r="M44" s="9"/>
      <c r="N44" s="9"/>
      <c r="O44" s="9"/>
      <c r="P44" s="9"/>
    </row>
    <row r="45" spans="2:16" x14ac:dyDescent="0.3">
      <c r="B45" s="9"/>
      <c r="C45" s="9"/>
      <c r="D45" s="9" t="s">
        <v>955</v>
      </c>
      <c r="E45" s="327" t="s">
        <v>529</v>
      </c>
      <c r="F45" s="9"/>
      <c r="G45" s="9"/>
      <c r="H45" s="9"/>
      <c r="I45" s="331">
        <v>-0.15</v>
      </c>
      <c r="J45" s="9"/>
      <c r="K45" s="9"/>
      <c r="L45" s="9"/>
      <c r="M45" s="9"/>
      <c r="N45" s="9"/>
      <c r="O45" s="9"/>
      <c r="P45" s="9"/>
    </row>
    <row r="46" spans="2:16" x14ac:dyDescent="0.3">
      <c r="B46" s="9"/>
      <c r="C46" s="9"/>
      <c r="D46" s="295" t="s">
        <v>956</v>
      </c>
      <c r="E46" s="9"/>
      <c r="F46" s="9"/>
      <c r="G46" s="9"/>
      <c r="H46" s="9"/>
      <c r="I46" s="326" t="str">
        <f>IF(I43&gt;I44,"BUY",IF(I43&lt;I45,"SELL","HOLD"))</f>
        <v>SELL</v>
      </c>
      <c r="J46" s="9"/>
      <c r="K46" s="9"/>
      <c r="L46" s="9"/>
      <c r="M46" s="9"/>
      <c r="N46" s="9"/>
      <c r="O46" s="9"/>
      <c r="P46" s="9"/>
    </row>
    <row r="47" spans="2:16" x14ac:dyDescent="0.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2:16" x14ac:dyDescent="0.3">
      <c r="B48" s="9"/>
      <c r="C48" s="298" t="str">
        <f>"E. Sensitivity: Value per Share (live case: "&amp;INDEX(Assumptions!$C$27:$C$29,Assumptions!$D$7)&amp;")"</f>
        <v>E. Sensitivity: Value per Share (live case: Base)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2:16" x14ac:dyDescent="0.3">
      <c r="B49" s="9"/>
      <c r="C49" s="9"/>
      <c r="D49" s="312" t="s">
        <v>957</v>
      </c>
      <c r="E49" s="9"/>
      <c r="F49" s="9"/>
      <c r="G49" s="9"/>
      <c r="H49" s="9"/>
      <c r="I49" s="9"/>
      <c r="J49" s="9"/>
      <c r="K49" s="9"/>
      <c r="L49" s="345" t="s">
        <v>958</v>
      </c>
      <c r="M49" s="9"/>
      <c r="N49" s="9"/>
      <c r="O49" s="9"/>
      <c r="P49" s="9"/>
    </row>
    <row r="50" spans="2:16" x14ac:dyDescent="0.3">
      <c r="B50" s="9"/>
      <c r="C50" s="9"/>
      <c r="D50" s="9"/>
      <c r="E50" s="348" t="s">
        <v>115</v>
      </c>
      <c r="F50" s="349">
        <v>0</v>
      </c>
      <c r="G50" s="349">
        <v>5.0000000000000001E-3</v>
      </c>
      <c r="H50" s="350">
        <f>DCF!$F$45</f>
        <v>9.6558191116491807E-3</v>
      </c>
      <c r="I50" s="349">
        <v>0.02</v>
      </c>
      <c r="J50" s="349">
        <v>0.03</v>
      </c>
      <c r="K50" s="348" t="s">
        <v>959</v>
      </c>
      <c r="L50" s="351">
        <v>5</v>
      </c>
      <c r="M50" s="351">
        <v>6.5</v>
      </c>
      <c r="N50" s="352">
        <f>DCF!$F$38</f>
        <v>7.77</v>
      </c>
      <c r="O50" s="351">
        <v>10</v>
      </c>
      <c r="P50" s="351">
        <v>13</v>
      </c>
    </row>
    <row r="51" spans="2:16" x14ac:dyDescent="0.3">
      <c r="B51" s="9"/>
      <c r="C51" s="9"/>
      <c r="D51" s="325"/>
      <c r="E51" s="346">
        <v>0.105</v>
      </c>
      <c r="F51" s="354">
        <f>(SUMPRODUCT(DCF!$K$15:$P$15,(1+$E51)^-DCF!$K$24:$P$24)+DCF!$P$11*(1+F$50)*(1-F$50/DCF!$F$42)/($E51-F$50)*(1+$E51)^-DCF!$P$23+DCF!$F$60+DCF!$F$61)/DCF!$F$63</f>
        <v>270.28081613082986</v>
      </c>
      <c r="G51" s="354">
        <f>(SUMPRODUCT(DCF!$K$15:$P$15,(1+$E51)^-DCF!$K$24:$P$24)+DCF!$P$11*(1+G$50)*(1-G$50/DCF!$F$42)/($E51-G$50)*(1+$E51)^-DCF!$P$23+DCF!$F$60+DCF!$F$61)/DCF!$F$63</f>
        <v>272.5296905522934</v>
      </c>
      <c r="H51" s="354">
        <f>(SUMPRODUCT(DCF!$K$15:$P$15,(1+$E51)^-DCF!$K$24:$P$24)+DCF!$P$11*(1+H$50)*(1-H$50/DCF!$F$42)/($E51-H$50)*(1+$E51)^-DCF!$P$23+DCF!$F$60+DCF!$F$61)/DCF!$F$63</f>
        <v>274.81205980971151</v>
      </c>
      <c r="I51" s="354">
        <f>(SUMPRODUCT(DCF!$K$15:$P$15,(1+$E51)^-DCF!$K$24:$P$24)+DCF!$P$11*(1+I$50)*(1-I$50/DCF!$F$42)/($E51-I$50)*(1+$E51)^-DCF!$P$23+DCF!$F$60+DCF!$F$61)/DCF!$F$63</f>
        <v>280.68579327229975</v>
      </c>
      <c r="J51" s="354">
        <f>(SUMPRODUCT(DCF!$K$15:$P$15,(1+$E51)^-DCF!$K$24:$P$24)+DCF!$P$11*(1+J$50)*(1-J$50/DCF!$F$42)/($E51-J$50)*(1+$E51)^-DCF!$P$23+DCF!$F$60+DCF!$F$61)/DCF!$F$63</f>
        <v>287.76758778385545</v>
      </c>
      <c r="K51" s="353">
        <f>E51</f>
        <v>0.105</v>
      </c>
      <c r="L51" s="354">
        <f>(SUMPRODUCT(DCF!$K$15:$P$15,(1+$K51)^-DCF!$K$24:$P$24)+DCF!$P$10*L$50*(1+$K51)^-DCF!$P$23+DCF!$F$60+DCF!$F$61)/DCF!$F$63</f>
        <v>293.86009540021104</v>
      </c>
      <c r="M51" s="354">
        <f>(SUMPRODUCT(DCF!$K$15:$P$15,(1+$K51)^-DCF!$K$24:$P$24)+DCF!$P$10*M$50*(1+$K51)^-DCF!$P$23+DCF!$F$60+DCF!$F$61)/DCF!$F$63</f>
        <v>326.90274040009757</v>
      </c>
      <c r="N51" s="354">
        <f>(SUMPRODUCT(DCF!$K$15:$P$15,(1+$K51)^-DCF!$K$24:$P$24)+DCF!$P$10*N$50*(1+$K51)^-DCF!$P$23+DCF!$F$60+DCF!$F$61)/DCF!$F$63</f>
        <v>354.87884650000126</v>
      </c>
      <c r="O51" s="354">
        <f>(SUMPRODUCT(DCF!$K$15:$P$15,(1+$K51)^-DCF!$K$24:$P$24)+DCF!$P$10*O$50*(1+$K51)^-DCF!$P$23+DCF!$F$60+DCF!$F$61)/DCF!$F$63</f>
        <v>404.00224539983247</v>
      </c>
      <c r="P51" s="354">
        <f>(SUMPRODUCT(DCF!$K$15:$P$15,(1+$K51)^-DCF!$K$24:$P$24)+DCF!$P$10*P$50*(1+$K51)^-DCF!$P$23+DCF!$F$60+DCF!$F$61)/DCF!$F$63</f>
        <v>470.08753539960526</v>
      </c>
    </row>
    <row r="52" spans="2:16" x14ac:dyDescent="0.3">
      <c r="B52" s="9"/>
      <c r="C52" s="9"/>
      <c r="D52" s="294"/>
      <c r="E52" s="346">
        <v>0.115</v>
      </c>
      <c r="F52" s="354">
        <f>(SUMPRODUCT(DCF!$K$15:$P$15,(1+$E52)^-DCF!$K$24:$P$24)+DCF!$P$11*(1+F$50)*(1-F$50/DCF!$F$42)/($E52-F$50)*(1+$E52)^-DCF!$P$23+DCF!$F$60+DCF!$F$61)/DCF!$F$63</f>
        <v>256.15571121377099</v>
      </c>
      <c r="G52" s="354">
        <f>(SUMPRODUCT(DCF!$K$15:$P$15,(1+$E52)^-DCF!$K$24:$P$24)+DCF!$P$11*(1+G$50)*(1-G$50/DCF!$F$42)/($E52-G$50)*(1+$E52)^-DCF!$P$23+DCF!$F$60+DCF!$F$61)/DCF!$F$63</f>
        <v>257.76842344034606</v>
      </c>
      <c r="H52" s="354">
        <f>(SUMPRODUCT(DCF!$K$15:$P$15,(1+$E52)^-DCF!$K$24:$P$24)+DCF!$P$11*(1+H$50)*(1-H$50/DCF!$F$42)/($E52-H$50)*(1+$E52)^-DCF!$P$23+DCF!$F$60+DCF!$F$61)/DCF!$F$63</f>
        <v>259.38738252264125</v>
      </c>
      <c r="I52" s="354">
        <f>(SUMPRODUCT(DCF!$K$15:$P$15,(1+$E52)^-DCF!$K$24:$P$24)+DCF!$P$11*(1+I$50)*(1-I$50/DCF!$F$42)/($E52-I$50)*(1+$E52)^-DCF!$P$23+DCF!$F$60+DCF!$F$61)/DCF!$F$63</f>
        <v>263.47426518630391</v>
      </c>
      <c r="J52" s="354">
        <f>(SUMPRODUCT(DCF!$K$15:$P$15,(1+$E52)^-DCF!$K$24:$P$24)+DCF!$P$11*(1+J$50)*(1-J$50/DCF!$F$42)/($E52-J$50)*(1+$E52)^-DCF!$P$23+DCF!$F$60+DCF!$F$61)/DCF!$F$63</f>
        <v>268.25645461122446</v>
      </c>
      <c r="K52" s="353">
        <f>E52</f>
        <v>0.115</v>
      </c>
      <c r="L52" s="354">
        <f>(SUMPRODUCT(DCF!$K$15:$P$15,(1+$K52)^-DCF!$K$24:$P$24)+DCF!$P$10*L$50*(1+$K52)^-DCF!$P$23+DCF!$F$60+DCF!$F$61)/DCF!$F$63</f>
        <v>285.6253904475634</v>
      </c>
      <c r="M52" s="354">
        <f>(SUMPRODUCT(DCF!$K$15:$P$15,(1+$K52)^-DCF!$K$24:$P$24)+DCF!$P$10*M$50*(1+$K52)^-DCF!$P$23+DCF!$F$60+DCF!$F$61)/DCF!$F$63</f>
        <v>316.92934960721038</v>
      </c>
      <c r="N52" s="354">
        <f>(SUMPRODUCT(DCF!$K$15:$P$15,(1+$K52)^-DCF!$K$24:$P$24)+DCF!$P$10*N$50*(1+$K52)^-DCF!$P$23+DCF!$F$60+DCF!$F$61)/DCF!$F$63</f>
        <v>343.43336836237802</v>
      </c>
      <c r="O52" s="354">
        <f>(SUMPRODUCT(DCF!$K$15:$P$15,(1+$K52)^-DCF!$K$24:$P$24)+DCF!$P$10*O$50*(1+$K52)^-DCF!$P$23+DCF!$F$60+DCF!$F$61)/DCF!$F$63</f>
        <v>389.97192097971987</v>
      </c>
      <c r="P52" s="354">
        <f>(SUMPRODUCT(DCF!$K$15:$P$15,(1+$K52)^-DCF!$K$24:$P$24)+DCF!$P$10*P$50*(1+$K52)^-DCF!$P$23+DCF!$F$60+DCF!$F$61)/DCF!$F$63</f>
        <v>452.57983929901366</v>
      </c>
    </row>
    <row r="53" spans="2:16" x14ac:dyDescent="0.3">
      <c r="B53" s="9"/>
      <c r="C53" s="9"/>
      <c r="D53" s="325"/>
      <c r="E53" s="347">
        <f>DCF!$F$36</f>
        <v>0.12453408324160252</v>
      </c>
      <c r="F53" s="354">
        <f>(SUMPRODUCT(DCF!$K$15:$P$15,(1+$E53)^-DCF!$K$24:$P$24)+DCF!$P$11*(1+F$50)*(1-F$50/DCF!$F$42)/($E53-F$50)*(1+$E53)^-DCF!$P$23+DCF!$F$60+DCF!$F$61)/DCF!$F$63</f>
        <v>244.73966923007751</v>
      </c>
      <c r="G53" s="354">
        <f>(SUMPRODUCT(DCF!$K$15:$P$15,(1+$E53)^-DCF!$K$24:$P$24)+DCF!$P$11*(1+G$50)*(1-G$50/DCF!$F$42)/($E53-G$50)*(1+$E53)^-DCF!$P$23+DCF!$F$60+DCF!$F$61)/DCF!$F$63</f>
        <v>245.92199857924811</v>
      </c>
      <c r="H53" s="355">
        <f>(SUMPRODUCT(DCF!$K$15:$P$15,(1+$E53)^-DCF!$K$24:$P$24)+DCF!$P$11*(1+H$50)*(1-H$50/DCF!$F$42)/($E53-H$50)*(1+$E53)^-DCF!$P$23+DCF!$F$60+DCF!$F$61)/DCF!$F$63</f>
        <v>247.09771529902795</v>
      </c>
      <c r="I53" s="354">
        <f>(SUMPRODUCT(DCF!$K$15:$P$15,(1+$E53)^-DCF!$K$24:$P$24)+DCF!$P$11*(1+I$50)*(1-I$50/DCF!$F$42)/($E53-I$50)*(1+$E53)^-DCF!$P$23+DCF!$F$60+DCF!$F$61)/DCF!$F$63</f>
        <v>250.01735063610812</v>
      </c>
      <c r="J53" s="354">
        <f>(SUMPRODUCT(DCF!$K$15:$P$15,(1+$E53)^-DCF!$K$24:$P$24)+DCF!$P$11*(1+J$50)*(1-J$50/DCF!$F$42)/($E53-J$50)*(1+$E53)^-DCF!$P$23+DCF!$F$60+DCF!$F$61)/DCF!$F$63</f>
        <v>253.34957288885093</v>
      </c>
      <c r="K53" s="353">
        <f>E53</f>
        <v>0.12453408324160252</v>
      </c>
      <c r="L53" s="354">
        <f>(SUMPRODUCT(DCF!$K$15:$P$15,(1+$K53)^-DCF!$K$24:$P$24)+DCF!$P$10*L$50*(1+$K53)^-DCF!$P$23+DCF!$F$60+DCF!$F$61)/DCF!$F$63</f>
        <v>278.18858737283125</v>
      </c>
      <c r="M53" s="354">
        <f>(SUMPRODUCT(DCF!$K$15:$P$15,(1+$K53)^-DCF!$K$24:$P$24)+DCF!$P$10*M$50*(1+$K53)^-DCF!$P$23+DCF!$F$60+DCF!$F$61)/DCF!$F$63</f>
        <v>307.93350257713155</v>
      </c>
      <c r="N53" s="355">
        <f>(SUMPRODUCT(DCF!$K$15:$P$15,(1+$K53)^-DCF!$K$24:$P$24)+DCF!$P$10*N$50*(1+$K53)^-DCF!$P$23+DCF!$F$60+DCF!$F$61)/DCF!$F$63</f>
        <v>333.11753078343912</v>
      </c>
      <c r="O53" s="354">
        <f>(SUMPRODUCT(DCF!$K$15:$P$15,(1+$K53)^-DCF!$K$24:$P$24)+DCF!$P$10*O$50*(1+$K53)^-DCF!$P$23+DCF!$F$60+DCF!$F$61)/DCF!$F$63</f>
        <v>377.33830472049891</v>
      </c>
      <c r="P53" s="354">
        <f>(SUMPRODUCT(DCF!$K$15:$P$15,(1+$K53)^-DCF!$K$24:$P$24)+DCF!$P$10*P$50*(1+$K53)^-DCF!$P$23+DCF!$F$60+DCF!$F$61)/DCF!$F$63</f>
        <v>436.82813512909956</v>
      </c>
    </row>
    <row r="54" spans="2:16" x14ac:dyDescent="0.3">
      <c r="B54" s="9"/>
      <c r="C54" s="9"/>
      <c r="D54" s="9"/>
      <c r="E54" s="346">
        <v>0.13500000000000001</v>
      </c>
      <c r="F54" s="354">
        <f>(SUMPRODUCT(DCF!$K$15:$P$15,(1+$E54)^-DCF!$K$24:$P$24)+DCF!$P$11*(1+F$50)*(1-F$50/DCF!$F$42)/($E54-F$50)*(1+$E54)^-DCF!$P$23+DCF!$F$60+DCF!$F$61)/DCF!$F$63</f>
        <v>234.00154171601656</v>
      </c>
      <c r="G54" s="354">
        <f>(SUMPRODUCT(DCF!$K$15:$P$15,(1+$E54)^-DCF!$K$24:$P$24)+DCF!$P$11*(1+G$50)*(1-G$50/DCF!$F$42)/($E54-G$50)*(1+$E54)^-DCF!$P$23+DCF!$F$60+DCF!$F$61)/DCF!$F$63</f>
        <v>234.84459600384761</v>
      </c>
      <c r="H54" s="354">
        <f>(SUMPRODUCT(DCF!$K$15:$P$15,(1+$E54)^-DCF!$K$24:$P$24)+DCF!$P$11*(1+H$50)*(1-H$50/DCF!$F$42)/($E54-H$50)*(1+$E54)^-DCF!$P$23+DCF!$F$60+DCF!$F$61)/DCF!$F$63</f>
        <v>235.67469199741694</v>
      </c>
      <c r="I54" s="354">
        <f>(SUMPRODUCT(DCF!$K$15:$P$15,(1+$E54)^-DCF!$K$24:$P$24)+DCF!$P$11*(1+I$50)*(1-I$50/DCF!$F$42)/($E54-I$50)*(1+$E54)^-DCF!$P$23+DCF!$F$60+DCF!$F$61)/DCF!$F$63</f>
        <v>237.70160627345078</v>
      </c>
      <c r="J54" s="354">
        <f>(SUMPRODUCT(DCF!$K$15:$P$15,(1+$E54)^-DCF!$K$24:$P$24)+DCF!$P$11*(1+J$50)*(1-J$50/DCF!$F$42)/($E54-J$50)*(1+$E54)^-DCF!$P$23+DCF!$F$60+DCF!$F$61)/DCF!$F$63</f>
        <v>239.95754486449479</v>
      </c>
      <c r="K54" s="353">
        <f>E54</f>
        <v>0.13500000000000001</v>
      </c>
      <c r="L54" s="354">
        <f>(SUMPRODUCT(DCF!$K$15:$P$15,(1+$K54)^-DCF!$K$24:$P$24)+DCF!$P$10*L$50*(1+$K54)^-DCF!$P$23+DCF!$F$60+DCF!$F$61)/DCF!$F$63</f>
        <v>270.46007916797936</v>
      </c>
      <c r="M54" s="354">
        <f>(SUMPRODUCT(DCF!$K$15:$P$15,(1+$K54)^-DCF!$K$24:$P$24)+DCF!$P$10*M$50*(1+$K54)^-DCF!$P$23+DCF!$F$60+DCF!$F$61)/DCF!$F$63</f>
        <v>298.59678845652735</v>
      </c>
      <c r="N54" s="354">
        <f>(SUMPRODUCT(DCF!$K$15:$P$15,(1+$K54)^-DCF!$K$24:$P$24)+DCF!$P$10*N$50*(1+$K54)^-DCF!$P$23+DCF!$F$60+DCF!$F$61)/DCF!$F$63</f>
        <v>322.41920232083123</v>
      </c>
      <c r="O54" s="354">
        <f>(SUMPRODUCT(DCF!$K$15:$P$15,(1+$K54)^-DCF!$K$24:$P$24)+DCF!$P$10*O$50*(1+$K54)^-DCF!$P$23+DCF!$F$60+DCF!$F$61)/DCF!$F$63</f>
        <v>364.24911012980579</v>
      </c>
      <c r="P54" s="354">
        <f>(SUMPRODUCT(DCF!$K$15:$P$15,(1+$K54)^-DCF!$K$24:$P$24)+DCF!$P$10*P$50*(1+$K54)^-DCF!$P$23+DCF!$F$60+DCF!$F$61)/DCF!$F$63</f>
        <v>420.52252870690171</v>
      </c>
    </row>
    <row r="55" spans="2:16" x14ac:dyDescent="0.3">
      <c r="B55" s="9"/>
      <c r="C55" s="9"/>
      <c r="D55" s="9"/>
      <c r="E55" s="346">
        <v>0.14499999999999999</v>
      </c>
      <c r="F55" s="354">
        <f>(SUMPRODUCT(DCF!$K$15:$P$15,(1+$E55)^-DCF!$K$24:$P$24)+DCF!$P$11*(1+F$50)*(1-F$50/DCF!$F$42)/($E55-F$50)*(1+$E55)^-DCF!$P$23+DCF!$F$60+DCF!$F$61)/DCF!$F$63</f>
        <v>225.13317363993113</v>
      </c>
      <c r="G55" s="354">
        <f>(SUMPRODUCT(DCF!$K$15:$P$15,(1+$E55)^-DCF!$K$24:$P$24)+DCF!$P$11*(1+G$50)*(1-G$50/DCF!$F$42)/($E55-G$50)*(1+$E55)^-DCF!$P$23+DCF!$F$60+DCF!$F$61)/DCF!$F$63</f>
        <v>225.74190484498416</v>
      </c>
      <c r="H55" s="354">
        <f>(SUMPRODUCT(DCF!$K$15:$P$15,(1+$E55)^-DCF!$K$24:$P$24)+DCF!$P$11*(1+H$50)*(1-H$50/DCF!$F$42)/($E55-H$50)*(1+$E55)^-DCF!$P$23+DCF!$F$60+DCF!$F$61)/DCF!$F$63</f>
        <v>226.33564202446297</v>
      </c>
      <c r="I55" s="354">
        <f>(SUMPRODUCT(DCF!$K$15:$P$15,(1+$E55)^-DCF!$K$24:$P$24)+DCF!$P$11*(1+I$50)*(1-I$50/DCF!$F$42)/($E55-I$50)*(1+$E55)^-DCF!$P$23+DCF!$F$60+DCF!$F$61)/DCF!$F$63</f>
        <v>227.76252627181901</v>
      </c>
      <c r="J55" s="354">
        <f>(SUMPRODUCT(DCF!$K$15:$P$15,(1+$E55)^-DCF!$K$24:$P$24)+DCF!$P$11*(1+J$50)*(1-J$50/DCF!$F$42)/($E55-J$50)*(1+$E55)^-DCF!$P$23+DCF!$F$60+DCF!$F$61)/DCF!$F$63</f>
        <v>229.31389731502048</v>
      </c>
      <c r="K55" s="353">
        <f>E55</f>
        <v>0.14499999999999999</v>
      </c>
      <c r="L55" s="354">
        <f>(SUMPRODUCT(DCF!$K$15:$P$15,(1+$K55)^-DCF!$K$24:$P$24)+DCF!$P$10*L$50*(1+$K55)^-DCF!$P$23+DCF!$F$60+DCF!$F$61)/DCF!$F$63</f>
        <v>263.47356234469441</v>
      </c>
      <c r="M55" s="354">
        <f>(SUMPRODUCT(DCF!$K$15:$P$15,(1+$K55)^-DCF!$K$24:$P$24)+DCF!$P$10*M$50*(1+$K55)^-DCF!$P$23+DCF!$F$60+DCF!$F$61)/DCF!$F$63</f>
        <v>290.16767890840254</v>
      </c>
      <c r="N55" s="354">
        <f>(SUMPRODUCT(DCF!$K$15:$P$15,(1+$K55)^-DCF!$K$24:$P$24)+DCF!$P$10*N$50*(1+$K55)^-DCF!$P$23+DCF!$F$60+DCF!$F$61)/DCF!$F$63</f>
        <v>312.7686975990087</v>
      </c>
      <c r="O55" s="354">
        <f>(SUMPRODUCT(DCF!$K$15:$P$15,(1+$K55)^-DCF!$K$24:$P$24)+DCF!$P$10*O$50*(1+$K55)^-DCF!$P$23+DCF!$F$60+DCF!$F$61)/DCF!$F$63</f>
        <v>352.453950890388</v>
      </c>
      <c r="P55" s="354">
        <f>(SUMPRODUCT(DCF!$K$15:$P$15,(1+$K55)^-DCF!$K$24:$P$24)+DCF!$P$10*P$50*(1+$K55)^-DCF!$P$23+DCF!$F$60+DCF!$F$61)/DCF!$F$63</f>
        <v>405.84218401780413</v>
      </c>
    </row>
    <row r="56" spans="2:16" x14ac:dyDescent="0.3">
      <c r="B56" s="9"/>
      <c r="C56" s="9"/>
      <c r="D56" s="294" t="s">
        <v>1033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2:16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2:16" x14ac:dyDescent="0.3">
      <c r="B58" s="9"/>
      <c r="C58" s="298" t="s">
        <v>960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x14ac:dyDescent="0.3">
      <c r="B59" s="9"/>
      <c r="C59" s="9"/>
      <c r="D59" s="356" t="s">
        <v>961</v>
      </c>
      <c r="E59" s="357"/>
      <c r="F59" s="358" t="s">
        <v>962</v>
      </c>
      <c r="G59" s="358" t="s">
        <v>963</v>
      </c>
      <c r="H59" s="358" t="s">
        <v>964</v>
      </c>
      <c r="I59" s="9"/>
      <c r="J59" s="326" t="s">
        <v>1030</v>
      </c>
      <c r="K59" s="326" t="s">
        <v>1031</v>
      </c>
      <c r="L59" s="326" t="s">
        <v>1032</v>
      </c>
      <c r="M59" s="326" t="s">
        <v>1034</v>
      </c>
      <c r="N59" s="326" t="s">
        <v>1035</v>
      </c>
      <c r="O59" s="9"/>
      <c r="P59" s="9"/>
    </row>
    <row r="60" spans="2:16" x14ac:dyDescent="0.3">
      <c r="B60" s="9"/>
      <c r="C60" s="9"/>
      <c r="D60" s="9" t="s">
        <v>965</v>
      </c>
      <c r="E60" s="9"/>
      <c r="F60" s="354">
        <f>F10</f>
        <v>127.24045461870857</v>
      </c>
      <c r="G60" s="354">
        <f>H10</f>
        <v>515.08876132167609</v>
      </c>
      <c r="H60" s="354">
        <f t="shared" ref="H60:H65" si="1">G60-F60</f>
        <v>387.84830670296753</v>
      </c>
      <c r="I60" s="9"/>
      <c r="J60" s="354">
        <f>$F$66</f>
        <v>927.6</v>
      </c>
      <c r="K60" s="354">
        <f>$G$66</f>
        <v>284.13116163461018</v>
      </c>
      <c r="L60" s="9">
        <v>0</v>
      </c>
      <c r="M60" s="401" t="str">
        <f t="shared" ref="M60:M65" si="2">TEXT(F60,"$#,##0")&amp;" – "&amp;TEXT(G60,"$#,##0")</f>
        <v>$127 – $515</v>
      </c>
      <c r="N60" s="401" t="str">
        <f>"Share price ("&amp;TEXT($F$66,"$#,##0.00")&amp;")"</f>
        <v>Share price ($927.60)</v>
      </c>
      <c r="O60" s="9"/>
      <c r="P60" s="9"/>
    </row>
    <row r="61" spans="2:16" x14ac:dyDescent="0.3">
      <c r="B61" s="9"/>
      <c r="C61" s="9"/>
      <c r="D61" s="9" t="s">
        <v>966</v>
      </c>
      <c r="E61" s="9"/>
      <c r="F61" s="354">
        <f>F11</f>
        <v>198.20868573732074</v>
      </c>
      <c r="G61" s="354">
        <f>H11</f>
        <v>582.57187926444999</v>
      </c>
      <c r="H61" s="354">
        <f t="shared" si="1"/>
        <v>384.36319352712928</v>
      </c>
      <c r="I61" s="9"/>
      <c r="J61" s="354">
        <f>$F$66</f>
        <v>927.6</v>
      </c>
      <c r="K61" s="354">
        <f>$G$66</f>
        <v>284.13116163461018</v>
      </c>
      <c r="L61" s="9">
        <v>1</v>
      </c>
      <c r="M61" s="401" t="str">
        <f t="shared" si="2"/>
        <v>$198 – $583</v>
      </c>
      <c r="N61" s="401" t="str">
        <f>"Target price ("&amp;TEXT($G$66,"$#,##0.00")&amp;")"</f>
        <v>Target price ($284.13)</v>
      </c>
      <c r="O61" s="9"/>
      <c r="P61" s="9"/>
    </row>
    <row r="62" spans="2:16" x14ac:dyDescent="0.3">
      <c r="B62" s="9"/>
      <c r="C62" s="9"/>
      <c r="D62" s="9" t="s">
        <v>967</v>
      </c>
      <c r="E62" s="9"/>
      <c r="F62" s="354">
        <f>MIN(F51:J55)</f>
        <v>225.13317363993113</v>
      </c>
      <c r="G62" s="354">
        <f>MAX(F51:J55)</f>
        <v>287.76758778385545</v>
      </c>
      <c r="H62" s="354">
        <f t="shared" si="1"/>
        <v>62.634414143924317</v>
      </c>
      <c r="I62" s="9"/>
      <c r="J62" s="9"/>
      <c r="K62" s="9"/>
      <c r="L62" s="9"/>
      <c r="M62" s="401" t="str">
        <f t="shared" si="2"/>
        <v>$225 – $288</v>
      </c>
      <c r="N62" s="9"/>
      <c r="O62" s="9"/>
      <c r="P62" s="9"/>
    </row>
    <row r="63" spans="2:16" x14ac:dyDescent="0.3">
      <c r="B63" s="9"/>
      <c r="C63" s="9"/>
      <c r="D63" s="9" t="s">
        <v>968</v>
      </c>
      <c r="E63" s="9"/>
      <c r="F63" s="354">
        <f>(MIN(Comps!N10:N11)*Model!J13+DCF!F60+DCF!F61)/DCF!F63</f>
        <v>615.36156690221048</v>
      </c>
      <c r="G63" s="354">
        <f>(MAX(Comps!N10:N11)*Model!J13+DCF!F60+DCF!F61)/DCF!F63</f>
        <v>786.70337012564198</v>
      </c>
      <c r="H63" s="354">
        <f t="shared" si="1"/>
        <v>171.3418032234315</v>
      </c>
      <c r="I63" s="9"/>
      <c r="J63" s="9"/>
      <c r="K63" s="9"/>
      <c r="L63" s="9"/>
      <c r="M63" s="401" t="str">
        <f t="shared" si="2"/>
        <v>$615 – $787</v>
      </c>
      <c r="N63" s="9"/>
      <c r="O63" s="9"/>
      <c r="P63" s="9"/>
    </row>
    <row r="64" spans="2:16" x14ac:dyDescent="0.3">
      <c r="B64" s="9"/>
      <c r="C64" s="9"/>
      <c r="D64" s="9" t="s">
        <v>969</v>
      </c>
      <c r="E64" s="9"/>
      <c r="F64" s="354">
        <f>(Comps!N17*Model!J13+DCF!F60+DCF!F61)/DCF!F63</f>
        <v>875.826303713421</v>
      </c>
      <c r="G64" s="354">
        <f>(Comps!N18*Model!J13+DCF!F60+DCF!F61)/DCF!F63</f>
        <v>2561.3288796473248</v>
      </c>
      <c r="H64" s="354">
        <f t="shared" si="1"/>
        <v>1685.5025759339037</v>
      </c>
      <c r="I64" s="9"/>
      <c r="J64" s="9"/>
      <c r="K64" s="9"/>
      <c r="L64" s="9"/>
      <c r="M64" s="401" t="str">
        <f t="shared" si="2"/>
        <v>$876 – $2,561</v>
      </c>
      <c r="N64" s="9"/>
      <c r="O64" s="9"/>
      <c r="P64" s="9"/>
    </row>
    <row r="65" spans="2:16" x14ac:dyDescent="0.3">
      <c r="B65" s="9"/>
      <c r="C65" s="9"/>
      <c r="D65" s="9" t="s">
        <v>970</v>
      </c>
      <c r="E65" s="9"/>
      <c r="F65" s="354">
        <f>Comps!O17*Schedules!J281/DCF!F63</f>
        <v>964.94689192522605</v>
      </c>
      <c r="G65" s="354">
        <f>Comps!O18*Schedules!J281/DCF!F63</f>
        <v>1495.2190966104954</v>
      </c>
      <c r="H65" s="354">
        <f t="shared" si="1"/>
        <v>530.27220468526934</v>
      </c>
      <c r="I65" s="9"/>
      <c r="J65" s="9"/>
      <c r="K65" s="9"/>
      <c r="L65" s="9"/>
      <c r="M65" s="401" t="str">
        <f t="shared" si="2"/>
        <v>$965 – $1,495</v>
      </c>
      <c r="N65" s="9"/>
      <c r="O65" s="9"/>
      <c r="P65" s="9"/>
    </row>
    <row r="66" spans="2:16" x14ac:dyDescent="0.3">
      <c r="B66" s="9"/>
      <c r="C66" s="9"/>
      <c r="D66" s="9" t="s">
        <v>971</v>
      </c>
      <c r="E66" s="9"/>
      <c r="F66" s="354">
        <f>I38</f>
        <v>927.6</v>
      </c>
      <c r="G66" s="354">
        <f>I42</f>
        <v>284.13116163461018</v>
      </c>
      <c r="H66" s="9"/>
      <c r="I66" s="9"/>
      <c r="J66" s="9"/>
      <c r="K66" s="9"/>
      <c r="L66" s="9"/>
      <c r="M66" s="9"/>
      <c r="N66" s="9"/>
      <c r="O66" s="9"/>
      <c r="P66" s="9"/>
    </row>
    <row r="67" spans="2:16" x14ac:dyDescent="0.3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2:16" x14ac:dyDescent="0.3">
      <c r="B68" s="9"/>
      <c r="C68" s="9"/>
      <c r="D68" s="356" t="s">
        <v>972</v>
      </c>
      <c r="E68" s="357"/>
      <c r="F68" s="358" t="s">
        <v>973</v>
      </c>
      <c r="G68" s="358" t="s">
        <v>974</v>
      </c>
      <c r="H68" s="358" t="s">
        <v>975</v>
      </c>
      <c r="I68" s="9"/>
      <c r="J68" s="9"/>
      <c r="K68" s="9"/>
      <c r="L68" s="9"/>
      <c r="M68" s="9"/>
      <c r="N68" s="9"/>
      <c r="O68" s="9"/>
      <c r="P68" s="9"/>
    </row>
    <row r="69" spans="2:16" x14ac:dyDescent="0.3">
      <c r="B69" s="9"/>
      <c r="C69" s="9"/>
      <c r="D69" s="9" t="s">
        <v>976</v>
      </c>
      <c r="E69" s="9"/>
      <c r="F69" s="302">
        <v>0</v>
      </c>
      <c r="G69" s="302">
        <f>G13</f>
        <v>160098.21924494195</v>
      </c>
      <c r="H69" s="302">
        <f>F69+G69</f>
        <v>160098.21924494195</v>
      </c>
      <c r="I69" s="9"/>
      <c r="J69" s="9"/>
      <c r="K69" s="9"/>
      <c r="L69" s="9"/>
      <c r="M69" s="9"/>
      <c r="N69" s="9"/>
      <c r="O69" s="9"/>
      <c r="P69" s="9"/>
    </row>
    <row r="70" spans="2:16" x14ac:dyDescent="0.3">
      <c r="B70" s="9"/>
      <c r="C70" s="9"/>
      <c r="D70" s="9" t="s">
        <v>836</v>
      </c>
      <c r="E70" s="9"/>
      <c r="F70" s="302">
        <f>G13</f>
        <v>160098.21924494195</v>
      </c>
      <c r="G70" s="302">
        <f>G14</f>
        <v>78267.672064944098</v>
      </c>
      <c r="H70" s="302">
        <f>F70+G70</f>
        <v>238365.89130988606</v>
      </c>
      <c r="I70" s="9"/>
      <c r="J70" s="9"/>
      <c r="K70" s="9"/>
      <c r="L70" s="9"/>
      <c r="M70" s="9"/>
      <c r="N70" s="9"/>
      <c r="O70" s="9"/>
      <c r="P70" s="9"/>
    </row>
    <row r="71" spans="2:16" x14ac:dyDescent="0.3">
      <c r="B71" s="9"/>
      <c r="C71" s="9"/>
      <c r="D71" s="9" t="s">
        <v>65</v>
      </c>
      <c r="E71" s="9"/>
      <c r="F71" s="302">
        <v>0</v>
      </c>
      <c r="G71" s="302">
        <f>G15</f>
        <v>238365.89130988606</v>
      </c>
      <c r="H71" s="302">
        <f>F71+G71</f>
        <v>238365.89130988606</v>
      </c>
      <c r="I71" s="9"/>
      <c r="J71" s="9"/>
      <c r="K71" s="9"/>
      <c r="L71" s="9"/>
      <c r="M71" s="9"/>
      <c r="N71" s="9"/>
      <c r="O71" s="9"/>
      <c r="P71" s="9"/>
    </row>
    <row r="72" spans="2:16" x14ac:dyDescent="0.3">
      <c r="B72" s="9"/>
      <c r="C72" s="9"/>
      <c r="D72" s="9" t="s">
        <v>977</v>
      </c>
      <c r="E72" s="9"/>
      <c r="F72" s="302">
        <f>G15</f>
        <v>238365.89130988606</v>
      </c>
      <c r="G72" s="302">
        <f>G16</f>
        <v>45796.481283996109</v>
      </c>
      <c r="H72" s="302">
        <f>F72+G72</f>
        <v>284162.37259388214</v>
      </c>
      <c r="I72" s="9"/>
      <c r="J72" s="9"/>
      <c r="K72" s="9"/>
      <c r="L72" s="9"/>
      <c r="M72" s="9"/>
      <c r="N72" s="9"/>
      <c r="O72" s="9"/>
      <c r="P72" s="9"/>
    </row>
    <row r="73" spans="2:16" x14ac:dyDescent="0.3">
      <c r="B73" s="9"/>
      <c r="C73" s="9"/>
      <c r="D73" s="9" t="s">
        <v>66</v>
      </c>
      <c r="E73" s="9"/>
      <c r="F73" s="302">
        <v>0</v>
      </c>
      <c r="G73" s="302">
        <f>G17</f>
        <v>284162.37259388214</v>
      </c>
      <c r="H73" s="302">
        <f>F73+G73</f>
        <v>284162.37259388214</v>
      </c>
      <c r="I73" s="9"/>
      <c r="J73" s="9"/>
      <c r="K73" s="9"/>
      <c r="L73" s="9"/>
      <c r="M73" s="9"/>
      <c r="N73" s="9"/>
      <c r="O73" s="9"/>
      <c r="P73" s="9"/>
    </row>
    <row r="74" spans="2:16" x14ac:dyDescent="0.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2:16" x14ac:dyDescent="0.3">
      <c r="B75" s="9"/>
      <c r="C75" s="9"/>
      <c r="D75" s="356" t="s">
        <v>978</v>
      </c>
      <c r="E75" s="357"/>
      <c r="F75" s="358" t="s">
        <v>842</v>
      </c>
      <c r="G75" s="358" t="s">
        <v>192</v>
      </c>
      <c r="H75" s="9"/>
      <c r="I75" s="9"/>
      <c r="J75" s="9"/>
      <c r="K75" s="9"/>
      <c r="L75" s="9"/>
      <c r="M75" s="9"/>
      <c r="N75" s="9"/>
      <c r="O75" s="9"/>
      <c r="P75" s="9"/>
    </row>
    <row r="76" spans="2:16" x14ac:dyDescent="0.3">
      <c r="B76" s="9"/>
      <c r="C76" s="9"/>
      <c r="D76" s="9" t="s">
        <v>108</v>
      </c>
      <c r="E76" s="9"/>
      <c r="F76" s="354">
        <f>F10</f>
        <v>127.24045461870857</v>
      </c>
      <c r="G76" s="354">
        <f>$I$38</f>
        <v>927.6</v>
      </c>
      <c r="H76" s="9"/>
      <c r="I76" s="9"/>
      <c r="J76" s="9"/>
      <c r="K76" s="9"/>
      <c r="L76" s="9"/>
      <c r="M76" s="9"/>
      <c r="N76" s="9"/>
      <c r="O76" s="9"/>
      <c r="P76" s="9"/>
    </row>
    <row r="77" spans="2:16" x14ac:dyDescent="0.3">
      <c r="B77" s="9"/>
      <c r="C77" s="9"/>
      <c r="D77" s="9" t="s">
        <v>109</v>
      </c>
      <c r="E77" s="9"/>
      <c r="F77" s="354">
        <f>G10</f>
        <v>247.09771529902795</v>
      </c>
      <c r="G77" s="354">
        <f>$I$38</f>
        <v>927.6</v>
      </c>
      <c r="H77" s="9"/>
      <c r="I77" s="9"/>
      <c r="J77" s="9"/>
      <c r="K77" s="9"/>
      <c r="L77" s="9"/>
      <c r="M77" s="9"/>
      <c r="N77" s="9"/>
      <c r="O77" s="9"/>
      <c r="P77" s="9"/>
    </row>
    <row r="78" spans="2:16" x14ac:dyDescent="0.3">
      <c r="B78" s="9"/>
      <c r="C78" s="9"/>
      <c r="D78" s="9" t="s">
        <v>110</v>
      </c>
      <c r="E78" s="9"/>
      <c r="F78" s="354">
        <f>H10</f>
        <v>515.08876132167609</v>
      </c>
      <c r="G78" s="354">
        <f>$I$38</f>
        <v>927.6</v>
      </c>
      <c r="H78" s="9"/>
      <c r="I78" s="9"/>
      <c r="J78" s="9"/>
      <c r="K78" s="9"/>
      <c r="L78" s="9"/>
      <c r="M78" s="9"/>
      <c r="N78" s="9"/>
      <c r="O78" s="9"/>
      <c r="P78" s="9"/>
    </row>
    <row r="79" spans="2:16" x14ac:dyDescent="0.3">
      <c r="B79" s="9"/>
      <c r="C79" s="9"/>
      <c r="D79" s="9" t="s">
        <v>76</v>
      </c>
      <c r="E79" s="9"/>
      <c r="F79" s="354">
        <f>I10</f>
        <v>284.13116163461018</v>
      </c>
      <c r="G79" s="354">
        <f>$I$38</f>
        <v>927.6</v>
      </c>
      <c r="H79" s="9"/>
      <c r="I79" s="9"/>
      <c r="J79" s="9"/>
      <c r="K79" s="9"/>
      <c r="L79" s="9"/>
      <c r="M79" s="9"/>
      <c r="N79" s="9"/>
      <c r="O79" s="9"/>
      <c r="P79" s="9"/>
    </row>
    <row r="80" spans="2:16" x14ac:dyDescent="0.3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2:16" x14ac:dyDescent="0.3">
      <c r="B81" s="9"/>
      <c r="C81" s="9"/>
      <c r="D81" s="312" t="s">
        <v>1036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2:16" x14ac:dyDescent="0.3">
      <c r="B82" s="9"/>
      <c r="C82" s="9"/>
      <c r="D82" s="9"/>
      <c r="E82" s="9"/>
      <c r="F82" s="401" t="str">
        <f>TEXT('Executive Summary'!D27,"0%")</f>
        <v>55%</v>
      </c>
      <c r="G82" s="401" t="str">
        <f>TEXT('Executive Summary'!E27,"0%")</f>
        <v>13%</v>
      </c>
      <c r="H82" s="401" t="str">
        <f>TEXT('Executive Summary'!F27,"0%")</f>
        <v>36%</v>
      </c>
      <c r="I82" s="401" t="str">
        <f>TEXT('Executive Summary'!G27,"0%")</f>
        <v>48%</v>
      </c>
      <c r="J82" s="401" t="str">
        <f>TEXT('Executive Summary'!H27,"0%")</f>
        <v>82%</v>
      </c>
      <c r="K82" s="401" t="str">
        <f>TEXT('Executive Summary'!I27,"0%")</f>
        <v>85%</v>
      </c>
      <c r="L82" s="401" t="str">
        <f>TEXT('Executive Summary'!J27,"0%")</f>
        <v>77%</v>
      </c>
      <c r="M82" s="401" t="str">
        <f>TEXT('Executive Summary'!K27,"0%")</f>
        <v>69%</v>
      </c>
      <c r="N82" s="401" t="str">
        <f>TEXT('Executive Summary'!L27,"0%")</f>
        <v>70%</v>
      </c>
      <c r="O82" s="401" t="str">
        <f>TEXT('Executive Summary'!M27,"0%")</f>
        <v>69%</v>
      </c>
      <c r="P82" s="401" t="str">
        <f>TEXT('Executive Summary'!N27,"0%")</f>
        <v>67%</v>
      </c>
    </row>
    <row r="83" spans="2:16" x14ac:dyDescent="0.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2:16" x14ac:dyDescent="0.3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2:16" x14ac:dyDescent="0.3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2:16" x14ac:dyDescent="0.3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2:16" x14ac:dyDescent="0.3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2:16" x14ac:dyDescent="0.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2:16" x14ac:dyDescent="0.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2:16" x14ac:dyDescent="0.3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</sheetData>
  <printOptions horizontalCentered="1"/>
  <pageMargins left="0.7" right="0.7" top="0.75" bottom="0.75" header="0.3" footer="0.3"/>
  <pageSetup paperSize="9" scale="64" fitToHeight="0" orientation="landscape" r:id="rId1"/>
  <rowBreaks count="1" manualBreakCount="1">
    <brk id="47" max="1638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47FD-5388-40E6-8767-C9F555644178}">
  <sheetPr>
    <tabColor rgb="FFFF0000"/>
    <pageSetUpPr fitToPage="1"/>
  </sheetPr>
  <dimension ref="B1:P40"/>
  <sheetViews>
    <sheetView showGridLines="0" workbookViewId="0"/>
  </sheetViews>
  <sheetFormatPr defaultRowHeight="14.4" x14ac:dyDescent="0.3"/>
  <cols>
    <col min="1" max="1" width="3.5546875" customWidth="1"/>
    <col min="2" max="2" width="1.88671875" customWidth="1"/>
    <col min="3" max="3" width="2.44140625" customWidth="1"/>
    <col min="4" max="4" width="42.77734375" customWidth="1"/>
    <col min="5" max="5" width="9.6640625" customWidth="1"/>
    <col min="6" max="16" width="13.33203125" customWidth="1"/>
  </cols>
  <sheetData>
    <row r="1" spans="2:16" s="283" customFormat="1" ht="12.75" customHeight="1" x14ac:dyDescent="0.3">
      <c r="P1" s="219"/>
    </row>
    <row r="2" spans="2:16" s="283" customFormat="1" ht="22.8" customHeight="1" x14ac:dyDescent="0.45"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</row>
    <row r="3" spans="2:16" s="283" customFormat="1" ht="17.399999999999999" customHeight="1" x14ac:dyDescent="0.35">
      <c r="B3" s="221" t="s">
        <v>979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2:16" s="283" customFormat="1" ht="3" customHeight="1" thickBot="1" x14ac:dyDescent="0.4"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</row>
    <row r="5" spans="2:16" s="283" customFormat="1" ht="12.75" customHeight="1" x14ac:dyDescent="0.3">
      <c r="B5" s="294" t="s">
        <v>980</v>
      </c>
    </row>
    <row r="6" spans="2:16" s="283" customFormat="1" x14ac:dyDescent="0.3">
      <c r="E6" s="225"/>
      <c r="F6" s="264"/>
    </row>
    <row r="7" spans="2:16" x14ac:dyDescent="0.3">
      <c r="B7" s="9"/>
      <c r="C7" s="9"/>
      <c r="D7" s="297" t="s">
        <v>558</v>
      </c>
      <c r="E7" s="297" t="s">
        <v>107</v>
      </c>
      <c r="F7" s="296" t="s">
        <v>190</v>
      </c>
      <c r="G7" s="296" t="s">
        <v>981</v>
      </c>
      <c r="H7" s="398" t="s">
        <v>982</v>
      </c>
      <c r="I7" s="297" t="s">
        <v>983</v>
      </c>
      <c r="J7" s="296"/>
      <c r="K7" s="296"/>
      <c r="L7" s="296"/>
      <c r="M7" s="296"/>
      <c r="N7" s="296"/>
      <c r="O7" s="296"/>
      <c r="P7" s="296"/>
    </row>
    <row r="8" spans="2:16" x14ac:dyDescent="0.3">
      <c r="B8" s="9"/>
      <c r="C8" s="9"/>
      <c r="D8" s="9"/>
      <c r="E8" s="9"/>
      <c r="F8" s="9"/>
      <c r="G8" s="9"/>
      <c r="H8" s="399"/>
      <c r="I8" s="9"/>
      <c r="J8" s="9"/>
      <c r="K8" s="9"/>
      <c r="L8" s="9"/>
      <c r="M8" s="9"/>
      <c r="N8" s="9"/>
      <c r="O8" s="9"/>
      <c r="P8" s="9"/>
    </row>
    <row r="9" spans="2:16" x14ac:dyDescent="0.3">
      <c r="B9" s="9"/>
      <c r="C9" s="298" t="s">
        <v>984</v>
      </c>
      <c r="D9" s="9"/>
      <c r="E9" s="9"/>
      <c r="F9" s="9"/>
      <c r="G9" s="9"/>
      <c r="H9" s="399"/>
      <c r="I9" s="9"/>
      <c r="J9" s="9"/>
      <c r="K9" s="9"/>
      <c r="L9" s="9"/>
      <c r="M9" s="9"/>
      <c r="N9" s="9"/>
      <c r="O9" s="9"/>
      <c r="P9" s="9"/>
    </row>
    <row r="10" spans="2:16" x14ac:dyDescent="0.3">
      <c r="B10" s="9"/>
      <c r="C10" s="9"/>
      <c r="D10" s="9" t="s">
        <v>985</v>
      </c>
      <c r="E10" s="327" t="s">
        <v>505</v>
      </c>
      <c r="F10" s="363">
        <f>SUMPRODUCT(ABS('Raw Data'!D67:H67-'Raw Data'!D80:H80-'Raw Data'!D89:H89))</f>
        <v>0</v>
      </c>
      <c r="G10" s="364">
        <v>0.5</v>
      </c>
      <c r="H10" s="400" t="str">
        <f>IF(F10&lt;=G10,"OK","CHECK")</f>
        <v>OK</v>
      </c>
      <c r="I10" s="325" t="s">
        <v>986</v>
      </c>
      <c r="J10" s="9"/>
      <c r="K10" s="9"/>
      <c r="L10" s="9"/>
      <c r="M10" s="9"/>
      <c r="N10" s="9"/>
      <c r="O10" s="9"/>
      <c r="P10" s="9"/>
    </row>
    <row r="11" spans="2:16" x14ac:dyDescent="0.3">
      <c r="B11" s="9"/>
      <c r="C11" s="9"/>
      <c r="D11" s="9" t="s">
        <v>987</v>
      </c>
      <c r="E11" s="327" t="s">
        <v>505</v>
      </c>
      <c r="F11" s="363">
        <f>SUMPRODUCT(ABS('Raw Data'!D34:H34-'Raw Data'!D96:H96))</f>
        <v>0</v>
      </c>
      <c r="G11" s="364">
        <v>0.5</v>
      </c>
      <c r="H11" s="400" t="str">
        <f>IF(F11&lt;=G11,"OK","CHECK")</f>
        <v>OK</v>
      </c>
      <c r="I11" s="325" t="s">
        <v>988</v>
      </c>
      <c r="J11" s="9"/>
      <c r="K11" s="9"/>
      <c r="L11" s="9"/>
      <c r="M11" s="9"/>
      <c r="N11" s="9"/>
      <c r="O11" s="9"/>
      <c r="P11" s="9"/>
    </row>
    <row r="12" spans="2:16" x14ac:dyDescent="0.3">
      <c r="B12" s="9"/>
      <c r="C12" s="9"/>
      <c r="D12" s="9" t="s">
        <v>989</v>
      </c>
      <c r="E12" s="327" t="s">
        <v>505</v>
      </c>
      <c r="F12" s="363">
        <f>SUMPRODUCT(ABS('Raw Data'!D162:H162-'Raw Data'!D18:H18))</f>
        <v>0</v>
      </c>
      <c r="G12" s="364">
        <v>0.5</v>
      </c>
      <c r="H12" s="400" t="str">
        <f>IF(F12&lt;=G12,"OK","CHECK")</f>
        <v>OK</v>
      </c>
      <c r="I12" s="325" t="s">
        <v>990</v>
      </c>
      <c r="J12" s="9"/>
      <c r="K12" s="9"/>
      <c r="L12" s="9"/>
      <c r="M12" s="9"/>
      <c r="N12" s="9"/>
      <c r="O12" s="9"/>
      <c r="P12" s="9"/>
    </row>
    <row r="13" spans="2:16" x14ac:dyDescent="0.3">
      <c r="B13" s="9"/>
      <c r="C13" s="9"/>
      <c r="D13" s="9"/>
      <c r="E13" s="9"/>
      <c r="F13" s="9"/>
      <c r="G13" s="9"/>
      <c r="H13" s="399"/>
      <c r="I13" s="9"/>
      <c r="J13" s="9"/>
      <c r="K13" s="9"/>
      <c r="L13" s="9"/>
      <c r="M13" s="9"/>
      <c r="N13" s="9"/>
      <c r="O13" s="9"/>
      <c r="P13" s="9"/>
    </row>
    <row r="14" spans="2:16" x14ac:dyDescent="0.3">
      <c r="B14" s="9"/>
      <c r="C14" s="298" t="s">
        <v>991</v>
      </c>
      <c r="D14" s="9"/>
      <c r="E14" s="9"/>
      <c r="F14" s="9"/>
      <c r="G14" s="9"/>
      <c r="H14" s="399"/>
      <c r="I14" s="9"/>
      <c r="J14" s="9"/>
      <c r="K14" s="9"/>
      <c r="L14" s="9"/>
      <c r="M14" s="9"/>
      <c r="N14" s="9"/>
      <c r="O14" s="9"/>
      <c r="P14" s="9"/>
    </row>
    <row r="15" spans="2:16" x14ac:dyDescent="0.3">
      <c r="B15" s="9"/>
      <c r="C15" s="9"/>
      <c r="D15" s="9" t="s">
        <v>992</v>
      </c>
      <c r="E15" s="327" t="s">
        <v>505</v>
      </c>
      <c r="F15" s="363">
        <f>MAX(INDEX(ABS(Schedules!F361:P361),0))</f>
        <v>0</v>
      </c>
      <c r="G15" s="364">
        <v>0.5</v>
      </c>
      <c r="H15" s="400" t="str">
        <f>IF(F15&lt;=G15,"OK","CHECK")</f>
        <v>OK</v>
      </c>
      <c r="I15" s="325" t="s">
        <v>993</v>
      </c>
      <c r="J15" s="9"/>
      <c r="K15" s="9"/>
      <c r="L15" s="9"/>
      <c r="M15" s="9"/>
      <c r="N15" s="9"/>
      <c r="O15" s="9"/>
      <c r="P15" s="9"/>
    </row>
    <row r="16" spans="2:16" x14ac:dyDescent="0.3">
      <c r="B16" s="9"/>
      <c r="C16" s="9"/>
      <c r="D16" s="9" t="s">
        <v>994</v>
      </c>
      <c r="E16" s="327" t="s">
        <v>505</v>
      </c>
      <c r="F16" s="363">
        <f>MAX(INDEX(ABS(Model!K32:P32),0))</f>
        <v>0</v>
      </c>
      <c r="G16" s="364">
        <v>0.5</v>
      </c>
      <c r="H16" s="400" t="str">
        <f>IF(F16&lt;=G16,"OK","CHECK")</f>
        <v>OK</v>
      </c>
      <c r="I16" s="325" t="s">
        <v>995</v>
      </c>
      <c r="J16" s="9"/>
      <c r="K16" s="9"/>
      <c r="L16" s="9"/>
      <c r="M16" s="9"/>
      <c r="N16" s="9"/>
      <c r="O16" s="9"/>
      <c r="P16" s="9"/>
    </row>
    <row r="17" spans="2:16" x14ac:dyDescent="0.3">
      <c r="B17" s="9"/>
      <c r="C17" s="9"/>
      <c r="D17" s="9" t="s">
        <v>996</v>
      </c>
      <c r="E17" s="327" t="s">
        <v>505</v>
      </c>
      <c r="F17" s="363">
        <f>MAX(INDEX(ABS(DCF!F15:P15-Model!F25:P25),0))</f>
        <v>0</v>
      </c>
      <c r="G17" s="364">
        <v>0.5</v>
      </c>
      <c r="H17" s="400" t="str">
        <f>IF(F17&lt;=G17,"OK","CHECK")</f>
        <v>OK</v>
      </c>
      <c r="I17" s="325" t="s">
        <v>997</v>
      </c>
      <c r="J17" s="9"/>
      <c r="K17" s="9"/>
      <c r="L17" s="9"/>
      <c r="M17" s="9"/>
      <c r="N17" s="9"/>
      <c r="O17" s="9"/>
      <c r="P17" s="9"/>
    </row>
    <row r="18" spans="2:16" x14ac:dyDescent="0.3">
      <c r="B18" s="9"/>
      <c r="C18" s="9"/>
      <c r="D18" s="9" t="s">
        <v>998</v>
      </c>
      <c r="E18" s="327" t="s">
        <v>505</v>
      </c>
      <c r="F18" s="363">
        <f>MAX(INDEX(ABS(Schedules!K196:P196),0))</f>
        <v>0</v>
      </c>
      <c r="G18" s="364">
        <v>0.5</v>
      </c>
      <c r="H18" s="400" t="str">
        <f>IF(F18&lt;=G18,"OK","CHECK")</f>
        <v>OK</v>
      </c>
      <c r="I18" s="325" t="s">
        <v>999</v>
      </c>
      <c r="J18" s="9"/>
      <c r="K18" s="9"/>
      <c r="L18" s="9"/>
      <c r="M18" s="9"/>
      <c r="N18" s="9"/>
      <c r="O18" s="9"/>
      <c r="P18" s="9"/>
    </row>
    <row r="19" spans="2:16" x14ac:dyDescent="0.3">
      <c r="B19" s="9"/>
      <c r="C19" s="9"/>
      <c r="D19" s="9"/>
      <c r="E19" s="9"/>
      <c r="F19" s="9"/>
      <c r="G19" s="9"/>
      <c r="H19" s="399"/>
      <c r="I19" s="9"/>
      <c r="J19" s="9"/>
      <c r="K19" s="9"/>
      <c r="L19" s="9"/>
      <c r="M19" s="9"/>
      <c r="N19" s="9"/>
      <c r="O19" s="9"/>
      <c r="P19" s="9"/>
    </row>
    <row r="20" spans="2:16" x14ac:dyDescent="0.3">
      <c r="B20" s="9"/>
      <c r="C20" s="298" t="s">
        <v>1000</v>
      </c>
      <c r="D20" s="9"/>
      <c r="E20" s="9"/>
      <c r="F20" s="9"/>
      <c r="G20" s="9"/>
      <c r="H20" s="399"/>
      <c r="I20" s="9"/>
      <c r="J20" s="9"/>
      <c r="K20" s="9"/>
      <c r="L20" s="9"/>
      <c r="M20" s="9"/>
      <c r="N20" s="9"/>
      <c r="O20" s="9"/>
      <c r="P20" s="9"/>
    </row>
    <row r="21" spans="2:16" x14ac:dyDescent="0.3">
      <c r="B21" s="9"/>
      <c r="C21" s="9"/>
      <c r="D21" s="9" t="s">
        <v>1001</v>
      </c>
      <c r="E21" s="327" t="s">
        <v>529</v>
      </c>
      <c r="F21" s="335">
        <f>ABS(WACC!F27+WACC!F28-1)</f>
        <v>0</v>
      </c>
      <c r="G21" s="336">
        <v>1E-4</v>
      </c>
      <c r="H21" s="400" t="str">
        <f t="shared" ref="H21:H26" si="0">IF(F21&lt;=G21,"OK","CHECK")</f>
        <v>OK</v>
      </c>
      <c r="I21" s="325" t="s">
        <v>1002</v>
      </c>
      <c r="J21" s="9"/>
      <c r="K21" s="9"/>
      <c r="L21" s="9"/>
      <c r="M21" s="9"/>
      <c r="N21" s="9"/>
      <c r="O21" s="9"/>
      <c r="P21" s="9"/>
    </row>
    <row r="22" spans="2:16" x14ac:dyDescent="0.3">
      <c r="B22" s="9"/>
      <c r="C22" s="9"/>
      <c r="D22" s="9" t="s">
        <v>1003</v>
      </c>
      <c r="E22" s="327" t="s">
        <v>529</v>
      </c>
      <c r="F22" s="335">
        <f>MAX(0,DCF!F45-DCF!F36)</f>
        <v>0</v>
      </c>
      <c r="G22" s="336">
        <v>0</v>
      </c>
      <c r="H22" s="400" t="str">
        <f t="shared" si="0"/>
        <v>OK</v>
      </c>
      <c r="I22" s="325" t="s">
        <v>1004</v>
      </c>
      <c r="J22" s="9"/>
      <c r="K22" s="9"/>
      <c r="L22" s="9"/>
      <c r="M22" s="9"/>
      <c r="N22" s="9"/>
      <c r="O22" s="9"/>
      <c r="P22" s="9"/>
    </row>
    <row r="23" spans="2:16" x14ac:dyDescent="0.3">
      <c r="B23" s="9"/>
      <c r="C23" s="9"/>
      <c r="D23" s="9" t="s">
        <v>1005</v>
      </c>
      <c r="E23" s="327" t="s">
        <v>529</v>
      </c>
      <c r="F23" s="335">
        <f>ABS(SUM(Scenarios!F41:H41)-1)</f>
        <v>0</v>
      </c>
      <c r="G23" s="336">
        <v>1E-4</v>
      </c>
      <c r="H23" s="400" t="str">
        <f t="shared" si="0"/>
        <v>OK</v>
      </c>
      <c r="I23" s="325" t="s">
        <v>1006</v>
      </c>
      <c r="J23" s="9"/>
      <c r="K23" s="9"/>
      <c r="L23" s="9"/>
      <c r="M23" s="9"/>
      <c r="N23" s="9"/>
      <c r="O23" s="9"/>
      <c r="P23" s="9"/>
    </row>
    <row r="24" spans="2:16" x14ac:dyDescent="0.3">
      <c r="B24" s="9"/>
      <c r="C24" s="9"/>
      <c r="D24" s="9" t="s">
        <v>1007</v>
      </c>
      <c r="E24" s="327" t="s">
        <v>550</v>
      </c>
      <c r="F24" s="359">
        <f>MAX(INDEX(ABS(Scenarios!K10:K38),0))</f>
        <v>0</v>
      </c>
      <c r="G24" s="360">
        <v>0.01</v>
      </c>
      <c r="H24" s="400" t="str">
        <f t="shared" si="0"/>
        <v>OK</v>
      </c>
      <c r="I24" s="325" t="s">
        <v>1008</v>
      </c>
      <c r="J24" s="9"/>
      <c r="K24" s="9"/>
      <c r="L24" s="9"/>
      <c r="M24" s="9"/>
      <c r="N24" s="9"/>
      <c r="O24" s="9"/>
      <c r="P24" s="9"/>
    </row>
    <row r="25" spans="2:16" x14ac:dyDescent="0.3">
      <c r="B25" s="9"/>
      <c r="C25" s="9"/>
      <c r="D25" s="9" t="s">
        <v>1009</v>
      </c>
      <c r="E25" s="327" t="s">
        <v>1010</v>
      </c>
      <c r="F25" s="302">
        <f>ABS(Assumptions!D7-2)</f>
        <v>0</v>
      </c>
      <c r="G25" s="333">
        <v>0</v>
      </c>
      <c r="H25" s="400" t="str">
        <f t="shared" si="0"/>
        <v>OK</v>
      </c>
      <c r="I25" s="325" t="s">
        <v>1011</v>
      </c>
      <c r="J25" s="9"/>
      <c r="K25" s="9"/>
      <c r="L25" s="9"/>
      <c r="M25" s="9"/>
      <c r="N25" s="9"/>
      <c r="O25" s="9"/>
      <c r="P25" s="9"/>
    </row>
    <row r="26" spans="2:16" x14ac:dyDescent="0.3">
      <c r="B26" s="9"/>
      <c r="C26" s="9"/>
      <c r="D26" s="9" t="s">
        <v>1012</v>
      </c>
      <c r="E26" s="327" t="s">
        <v>1013</v>
      </c>
      <c r="F26" s="302">
        <f>72-COUNT('Raw Data'!D201:H208,'Raw Data'!J201:M208)</f>
        <v>0</v>
      </c>
      <c r="G26" s="333">
        <v>0</v>
      </c>
      <c r="H26" s="400" t="str">
        <f t="shared" si="0"/>
        <v>OK</v>
      </c>
      <c r="I26" s="325" t="s">
        <v>1014</v>
      </c>
      <c r="J26" s="9"/>
      <c r="K26" s="9"/>
      <c r="L26" s="9"/>
      <c r="M26" s="9"/>
      <c r="N26" s="9"/>
      <c r="O26" s="9"/>
      <c r="P26" s="9"/>
    </row>
    <row r="27" spans="2:16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2:16" x14ac:dyDescent="0.3">
      <c r="B28" s="9"/>
      <c r="C28" s="9"/>
      <c r="D28" s="361" t="s">
        <v>1015</v>
      </c>
      <c r="E28" s="309"/>
      <c r="F28" s="309"/>
      <c r="G28" s="309"/>
      <c r="H28" s="362" t="str">
        <f>IF(COUNTIF(H10:H26,"CHECK")=0,"ALL CHECKS PASS",COUNTIF(H10:H26,"CHECK")&amp;" CHECK(S) FAIL")</f>
        <v>ALL CHECKS PASS</v>
      </c>
      <c r="I28" s="309"/>
      <c r="J28" s="309"/>
      <c r="K28" s="309"/>
      <c r="L28" s="309"/>
      <c r="M28" s="309"/>
      <c r="N28" s="309"/>
      <c r="O28" s="309"/>
      <c r="P28" s="309"/>
    </row>
    <row r="29" spans="2:16" x14ac:dyDescent="0.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2:16" x14ac:dyDescent="0.3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2:16" x14ac:dyDescent="0.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2:16" x14ac:dyDescent="0.3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2:16" x14ac:dyDescent="0.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2:16" x14ac:dyDescent="0.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2:16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2:16" x14ac:dyDescent="0.3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2:16" x14ac:dyDescent="0.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2:16" x14ac:dyDescent="0.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2:16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x14ac:dyDescent="0.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</sheetData>
  <conditionalFormatting sqref="H10:H26">
    <cfRule type="cellIs" dxfId="2" priority="1" stopIfTrue="1" operator="equal">
      <formula>"CHECK"</formula>
    </cfRule>
    <cfRule type="cellIs" dxfId="1" priority="3" stopIfTrue="1" operator="equal">
      <formula>"OK"</formula>
    </cfRule>
  </conditionalFormatting>
  <conditionalFormatting sqref="H28">
    <cfRule type="cellIs" dxfId="0" priority="2" stopIfTrue="1" operator="equal">
      <formula>"CHECK"</formula>
    </cfRule>
  </conditionalFormatting>
  <printOptions horizontalCentered="1"/>
  <pageMargins left="0.7" right="0.7" top="0.75" bottom="0.75" header="0.3" footer="0.3"/>
  <pageSetup paperSize="9" scale="64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5158-4EE6-42A6-9F77-5E41217C79DD}">
  <sheetPr>
    <tabColor theme="9"/>
  </sheetPr>
  <dimension ref="B2:F19"/>
  <sheetViews>
    <sheetView showGridLines="0" workbookViewId="0">
      <selection activeCell="B19" sqref="B19:F19"/>
    </sheetView>
  </sheetViews>
  <sheetFormatPr defaultRowHeight="14.4" x14ac:dyDescent="0.3"/>
  <cols>
    <col min="1" max="1" width="3.5546875" customWidth="1"/>
    <col min="2" max="2" width="38" customWidth="1"/>
    <col min="3" max="3" width="22" customWidth="1"/>
    <col min="4" max="4" width="14" customWidth="1"/>
    <col min="5" max="5" width="38" customWidth="1"/>
    <col min="6" max="6" width="70" customWidth="1"/>
  </cols>
  <sheetData>
    <row r="2" spans="2:6" ht="17.399999999999999" customHeight="1" x14ac:dyDescent="0.35">
      <c r="B2" s="221" t="s">
        <v>52</v>
      </c>
      <c r="C2" s="221"/>
      <c r="D2" s="221"/>
      <c r="E2" s="221"/>
      <c r="F2" s="221"/>
    </row>
    <row r="3" spans="2:6" ht="3" customHeight="1" x14ac:dyDescent="0.35">
      <c r="B3" s="222"/>
      <c r="C3" s="222"/>
      <c r="D3" s="222"/>
      <c r="E3" s="222"/>
      <c r="F3" s="222"/>
    </row>
    <row r="5" spans="2:6" x14ac:dyDescent="0.3">
      <c r="B5" s="226" t="s">
        <v>189</v>
      </c>
      <c r="C5" s="226" t="s">
        <v>190</v>
      </c>
      <c r="D5" s="226" t="s">
        <v>678</v>
      </c>
      <c r="E5" s="226" t="s">
        <v>679</v>
      </c>
      <c r="F5" s="226" t="s">
        <v>680</v>
      </c>
    </row>
    <row r="6" spans="2:6" x14ac:dyDescent="0.3">
      <c r="B6" s="227" t="s">
        <v>681</v>
      </c>
      <c r="C6" s="227" t="s">
        <v>682</v>
      </c>
      <c r="D6" s="227" t="s">
        <v>661</v>
      </c>
      <c r="E6" s="227" t="s">
        <v>683</v>
      </c>
      <c r="F6" s="227" t="s">
        <v>684</v>
      </c>
    </row>
    <row r="7" spans="2:6" x14ac:dyDescent="0.3">
      <c r="B7" s="227" t="s">
        <v>685</v>
      </c>
      <c r="C7" s="227" t="s">
        <v>686</v>
      </c>
      <c r="D7" s="227" t="s">
        <v>337</v>
      </c>
      <c r="E7" s="227" t="s">
        <v>687</v>
      </c>
      <c r="F7" s="227" t="s">
        <v>688</v>
      </c>
    </row>
    <row r="8" spans="2:6" x14ac:dyDescent="0.3">
      <c r="B8" s="227" t="s">
        <v>689</v>
      </c>
      <c r="C8" s="227" t="s">
        <v>690</v>
      </c>
      <c r="D8" s="227" t="s">
        <v>661</v>
      </c>
      <c r="E8" s="227" t="s">
        <v>691</v>
      </c>
      <c r="F8" s="227" t="s">
        <v>684</v>
      </c>
    </row>
    <row r="9" spans="2:6" x14ac:dyDescent="0.3">
      <c r="B9" s="227" t="s">
        <v>692</v>
      </c>
      <c r="C9" s="227" t="s">
        <v>693</v>
      </c>
      <c r="D9" s="227" t="s">
        <v>668</v>
      </c>
      <c r="E9" s="227" t="s">
        <v>694</v>
      </c>
      <c r="F9" s="227" t="s">
        <v>695</v>
      </c>
    </row>
    <row r="10" spans="2:6" x14ac:dyDescent="0.3">
      <c r="B10" s="227" t="s">
        <v>696</v>
      </c>
      <c r="C10" s="227" t="s">
        <v>697</v>
      </c>
      <c r="D10" s="227" t="s">
        <v>670</v>
      </c>
      <c r="E10" s="227" t="s">
        <v>698</v>
      </c>
      <c r="F10" s="227" t="s">
        <v>699</v>
      </c>
    </row>
    <row r="11" spans="2:6" x14ac:dyDescent="0.3">
      <c r="B11" s="227" t="s">
        <v>700</v>
      </c>
      <c r="C11" s="227" t="s">
        <v>701</v>
      </c>
      <c r="D11" s="227" t="s">
        <v>668</v>
      </c>
      <c r="E11" s="227" t="s">
        <v>702</v>
      </c>
      <c r="F11" s="227" t="s">
        <v>703</v>
      </c>
    </row>
    <row r="12" spans="2:6" x14ac:dyDescent="0.3">
      <c r="B12" s="227" t="s">
        <v>704</v>
      </c>
      <c r="C12" s="227" t="s">
        <v>705</v>
      </c>
      <c r="D12" s="227" t="s">
        <v>674</v>
      </c>
      <c r="E12" s="227" t="s">
        <v>706</v>
      </c>
      <c r="F12" s="227" t="s">
        <v>707</v>
      </c>
    </row>
    <row r="13" spans="2:6" x14ac:dyDescent="0.3">
      <c r="B13" s="227" t="s">
        <v>708</v>
      </c>
      <c r="C13" s="227" t="s">
        <v>709</v>
      </c>
      <c r="D13" s="227" t="s">
        <v>710</v>
      </c>
      <c r="E13" s="227" t="s">
        <v>711</v>
      </c>
      <c r="F13" s="227" t="s">
        <v>712</v>
      </c>
    </row>
    <row r="14" spans="2:6" x14ac:dyDescent="0.3">
      <c r="B14" s="227" t="s">
        <v>713</v>
      </c>
      <c r="C14" s="227" t="s">
        <v>714</v>
      </c>
      <c r="D14" s="227" t="s">
        <v>146</v>
      </c>
      <c r="E14" s="227" t="s">
        <v>715</v>
      </c>
      <c r="F14" s="227" t="s">
        <v>716</v>
      </c>
    </row>
    <row r="15" spans="2:6" x14ac:dyDescent="0.3">
      <c r="B15" s="227" t="s">
        <v>717</v>
      </c>
      <c r="C15" s="227" t="s">
        <v>718</v>
      </c>
      <c r="D15" s="227" t="s">
        <v>338</v>
      </c>
      <c r="E15" s="227" t="s">
        <v>719</v>
      </c>
      <c r="F15" s="227" t="s">
        <v>688</v>
      </c>
    </row>
    <row r="16" spans="2:6" x14ac:dyDescent="0.3">
      <c r="B16" s="227" t="s">
        <v>795</v>
      </c>
      <c r="C16" s="227" t="s">
        <v>796</v>
      </c>
      <c r="D16" s="227" t="s">
        <v>758</v>
      </c>
      <c r="E16" s="227" t="s">
        <v>797</v>
      </c>
      <c r="F16" s="227" t="s">
        <v>798</v>
      </c>
    </row>
    <row r="17" spans="2:6" x14ac:dyDescent="0.3">
      <c r="B17" s="227" t="s">
        <v>856</v>
      </c>
      <c r="C17" s="227" t="s">
        <v>857</v>
      </c>
      <c r="D17" s="227" t="s">
        <v>858</v>
      </c>
      <c r="E17" s="227" t="s">
        <v>859</v>
      </c>
      <c r="F17" s="227" t="s">
        <v>860</v>
      </c>
    </row>
    <row r="18" spans="2:6" x14ac:dyDescent="0.3">
      <c r="B18" s="227" t="s">
        <v>884</v>
      </c>
      <c r="C18" s="227" t="s">
        <v>885</v>
      </c>
      <c r="D18" s="293">
        <v>46280</v>
      </c>
      <c r="E18" s="227" t="s">
        <v>886</v>
      </c>
      <c r="F18" s="227" t="s">
        <v>887</v>
      </c>
    </row>
    <row r="19" spans="2:6" x14ac:dyDescent="0.3">
      <c r="B19" s="227" t="s">
        <v>888</v>
      </c>
      <c r="C19" s="227" t="s">
        <v>889</v>
      </c>
      <c r="D19" s="293">
        <v>46280</v>
      </c>
      <c r="E19" s="227" t="s">
        <v>890</v>
      </c>
      <c r="F19" s="227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Cover</vt:lpstr>
      <vt:lpstr>Executive Summary</vt:lpstr>
      <vt:lpstr>Assumptions</vt:lpstr>
      <vt:lpstr>Raw Data</vt:lpstr>
      <vt:lpstr>Historical Drivers</vt:lpstr>
      <vt:lpstr>Schedules</vt:lpstr>
      <vt:lpstr>Model</vt:lpstr>
      <vt:lpstr>WACC</vt:lpstr>
      <vt:lpstr>DCF</vt:lpstr>
      <vt:lpstr>Comps</vt:lpstr>
      <vt:lpstr>Scenarios</vt:lpstr>
      <vt:lpstr>Checks</vt:lpstr>
      <vt:lpstr>Sources</vt:lpstr>
      <vt:lpstr>Checks!Print_Area</vt:lpstr>
      <vt:lpstr>Comps!Print_Area</vt:lpstr>
      <vt:lpstr>DCF!Print_Area</vt:lpstr>
      <vt:lpstr>'Executive Summary'!Print_Area</vt:lpstr>
      <vt:lpstr>Model!Print_Area</vt:lpstr>
      <vt:lpstr>Scenarios!Print_Area</vt:lpstr>
      <vt:lpstr>Schedules!Print_Area</vt:lpstr>
      <vt:lpstr>WACC!Print_Area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Siddhanth B</dc:creator>
  <cp:lastModifiedBy>Siddhanth B</cp:lastModifiedBy>
  <cp:lastPrinted>2026-10-18T15:25:19Z</cp:lastPrinted>
  <dcterms:created xsi:type="dcterms:W3CDTF">2026-09-12T14:25:35Z</dcterms:created>
  <dcterms:modified xsi:type="dcterms:W3CDTF">2026-10-18T15:28:11Z</dcterms:modified>
</cp:coreProperties>
</file>